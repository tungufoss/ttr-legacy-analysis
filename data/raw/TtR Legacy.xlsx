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s" sheetId="1" r:id="rId5"/>
    <sheet state="visible" name="Employees" sheetId="2" r:id="rId6"/>
    <sheet state="visible" name="Events" sheetId="3" r:id="rId7"/>
    <sheet state="visible" name="PostOffice" sheetId="4" r:id="rId8"/>
    <sheet state="visible" name="Story" sheetId="5" r:id="rId9"/>
    <sheet state="visible" name="Claims" sheetId="6" r:id="rId10"/>
    <sheet state="visible" name="Circus" sheetId="7" r:id="rId11"/>
    <sheet state="visible" name="timetable" sheetId="8" r:id="rId12"/>
    <sheet state="visible" name="Bankslips" sheetId="9" r:id="rId13"/>
  </sheets>
  <definedNames/>
  <calcPr/>
</workbook>
</file>

<file path=xl/sharedStrings.xml><?xml version="1.0" encoding="utf-8"?>
<sst xmlns="http://schemas.openxmlformats.org/spreadsheetml/2006/main" count="1203" uniqueCount="243">
  <si>
    <t>id</t>
  </si>
  <si>
    <t>Box</t>
  </si>
  <si>
    <t>To</t>
  </si>
  <si>
    <t>From</t>
  </si>
  <si>
    <t>Dollars</t>
  </si>
  <si>
    <t>Black</t>
  </si>
  <si>
    <t>Red</t>
  </si>
  <si>
    <t>Blue</t>
  </si>
  <si>
    <t>Green</t>
  </si>
  <si>
    <t>Yellow</t>
  </si>
  <si>
    <t>Active</t>
  </si>
  <si>
    <t>Punches</t>
  </si>
  <si>
    <t>Postcard</t>
  </si>
  <si>
    <t>note</t>
  </si>
  <si>
    <t>valid</t>
  </si>
  <si>
    <t>counts</t>
  </si>
  <si>
    <t>Sierra Madre</t>
  </si>
  <si>
    <t>Monterrey</t>
  </si>
  <si>
    <t>Detroit</t>
  </si>
  <si>
    <t>Open Range</t>
  </si>
  <si>
    <t>Dodge City</t>
  </si>
  <si>
    <t>Houston</t>
  </si>
  <si>
    <t>Florida</t>
  </si>
  <si>
    <t>Boston</t>
  </si>
  <si>
    <t>Jacksonville</t>
  </si>
  <si>
    <t>Haunted Wastes</t>
  </si>
  <si>
    <t>Phoenix</t>
  </si>
  <si>
    <t>Bangor</t>
  </si>
  <si>
    <t>Badlands</t>
  </si>
  <si>
    <t>Winnipeg</t>
  </si>
  <si>
    <t>Savannah</t>
  </si>
  <si>
    <t>Cascadia</t>
  </si>
  <si>
    <t>Spokane</t>
  </si>
  <si>
    <t>Norfolk</t>
  </si>
  <si>
    <t>California</t>
  </si>
  <si>
    <t>Seattle</t>
  </si>
  <si>
    <t>Buffalo</t>
  </si>
  <si>
    <t>Great Plains</t>
  </si>
  <si>
    <t>Regina</t>
  </si>
  <si>
    <t>New York</t>
  </si>
  <si>
    <t>Initial</t>
  </si>
  <si>
    <t>Nashville</t>
  </si>
  <si>
    <t>grand total</t>
  </si>
  <si>
    <t>Santa Fe</t>
  </si>
  <si>
    <t>Montréal</t>
  </si>
  <si>
    <t>Portland</t>
  </si>
  <si>
    <t>Philadelphia</t>
  </si>
  <si>
    <t>Helena</t>
  </si>
  <si>
    <t>Knoxville</t>
  </si>
  <si>
    <t>Nuevos Angeles</t>
  </si>
  <si>
    <t>Vancouver</t>
  </si>
  <si>
    <t>Charleston</t>
  </si>
  <si>
    <t>San Francisco</t>
  </si>
  <si>
    <t>Miles City</t>
  </si>
  <si>
    <t>Baltimore</t>
  </si>
  <si>
    <t>Calgary</t>
  </si>
  <si>
    <t>Chicago</t>
  </si>
  <si>
    <t>Fargo</t>
  </si>
  <si>
    <t>Cincinnati</t>
  </si>
  <si>
    <t>Cemetery City</t>
  </si>
  <si>
    <t>Charlotte</t>
  </si>
  <si>
    <t>Denver</t>
  </si>
  <si>
    <t>Miami</t>
  </si>
  <si>
    <t>Little Rock</t>
  </si>
  <si>
    <t>Albany</t>
  </si>
  <si>
    <t>Sacramento</t>
  </si>
  <si>
    <t>New Orleans</t>
  </si>
  <si>
    <t>Baja</t>
  </si>
  <si>
    <t>St. Paul</t>
  </si>
  <si>
    <t>Québec</t>
  </si>
  <si>
    <t>Atlanta</t>
  </si>
  <si>
    <t>Cheyenne</t>
  </si>
  <si>
    <t>id mögulega off</t>
  </si>
  <si>
    <t>Kansas City</t>
  </si>
  <si>
    <t>Pittsburgh</t>
  </si>
  <si>
    <t>Mobile</t>
  </si>
  <si>
    <t>Salt Lake City</t>
  </si>
  <si>
    <t>Hermosillo</t>
  </si>
  <si>
    <t>Duluth</t>
  </si>
  <si>
    <t>Oklahoma City</t>
  </si>
  <si>
    <t>El Paso</t>
  </si>
  <si>
    <t>Chihuahua</t>
  </si>
  <si>
    <t>San Antonio</t>
  </si>
  <si>
    <t>Omaha</t>
  </si>
  <si>
    <t>Dallas</t>
  </si>
  <si>
    <t>St. Louis</t>
  </si>
  <si>
    <t>Tampa</t>
  </si>
  <si>
    <t>Davenport</t>
  </si>
  <si>
    <t>(annaðhvort gulur eða grænn 2x)</t>
  </si>
  <si>
    <t>Name</t>
  </si>
  <si>
    <t>Origin</t>
  </si>
  <si>
    <t>Investor</t>
  </si>
  <si>
    <t>Vice President</t>
  </si>
  <si>
    <t>great plains</t>
  </si>
  <si>
    <t>Tunnel Master</t>
  </si>
  <si>
    <t>cascadia</t>
  </si>
  <si>
    <t>Conductor</t>
  </si>
  <si>
    <t>Locomotive Engineer</t>
  </si>
  <si>
    <t>Dispatcher</t>
  </si>
  <si>
    <t>Silent Partner</t>
  </si>
  <si>
    <t>Ticket Master</t>
  </si>
  <si>
    <t>Station Master</t>
  </si>
  <si>
    <t>President</t>
  </si>
  <si>
    <t>Port Controller</t>
  </si>
  <si>
    <t>Psychic</t>
  </si>
  <si>
    <t>Gambler</t>
  </si>
  <si>
    <t>Financier</t>
  </si>
  <si>
    <t>Promoter</t>
  </si>
  <si>
    <t>Treasure Huntress</t>
  </si>
  <si>
    <t>Sierre Madre</t>
  </si>
  <si>
    <t>Crew Dispatcher</t>
  </si>
  <si>
    <t>Estate Agent</t>
  </si>
  <si>
    <t>Punched</t>
  </si>
  <si>
    <t>Commercial Ventures</t>
  </si>
  <si>
    <t>Railway improvments</t>
  </si>
  <si>
    <t>Aftershock in San Fran</t>
  </si>
  <si>
    <t>Transcontinental rail!</t>
  </si>
  <si>
    <t>Reeves Rails restructures</t>
  </si>
  <si>
    <t>A new horizon</t>
  </si>
  <si>
    <t>Landslides</t>
  </si>
  <si>
    <t>Mama O'Connell expands her network</t>
  </si>
  <si>
    <t>The stroke of midnight</t>
  </si>
  <si>
    <t>Workers strike</t>
  </si>
  <si>
    <t>Aftershock in Cemetery City</t>
  </si>
  <si>
    <t>Tariffs</t>
  </si>
  <si>
    <t>Aftershock in Nuevos Angeles</t>
  </si>
  <si>
    <t>Mama O'Connell increases fees</t>
  </si>
  <si>
    <t>Aftershock in Baja</t>
  </si>
  <si>
    <t>Mama O'Connel demands kickbacks</t>
  </si>
  <si>
    <t>Common Stock</t>
  </si>
  <si>
    <t>Sail Around South America</t>
  </si>
  <si>
    <t>Mama O'Connel does you a favor</t>
  </si>
  <si>
    <t>speculators</t>
  </si>
  <si>
    <t>Bull market</t>
  </si>
  <si>
    <t>Black Market Maps</t>
  </si>
  <si>
    <t>Sabotage!</t>
  </si>
  <si>
    <t>City Growth</t>
  </si>
  <si>
    <t>Train Robbers</t>
  </si>
  <si>
    <t>Lewisburg puts out contracts</t>
  </si>
  <si>
    <t>I found dead man's gulch</t>
  </si>
  <si>
    <t>Wanted!</t>
  </si>
  <si>
    <t>A Good Home</t>
  </si>
  <si>
    <t>Circus Mania</t>
  </si>
  <si>
    <t>Bank Pays You Dividends</t>
  </si>
  <si>
    <t>Mama O'Connell Issues a fee for her rails</t>
  </si>
  <si>
    <t>Right of way</t>
  </si>
  <si>
    <t>Reeves Rails needs assistance</t>
  </si>
  <si>
    <t>Card</t>
  </si>
  <si>
    <t>Read</t>
  </si>
  <si>
    <t>Worth</t>
  </si>
  <si>
    <t>Vault</t>
  </si>
  <si>
    <t>blue</t>
  </si>
  <si>
    <t>piggyback</t>
  </si>
  <si>
    <t>red</t>
  </si>
  <si>
    <t>green</t>
  </si>
  <si>
    <t>yellow</t>
  </si>
  <si>
    <t>black</t>
  </si>
  <si>
    <t>Year</t>
  </si>
  <si>
    <t>location</t>
  </si>
  <si>
    <t>bottom</t>
  </si>
  <si>
    <t>pause</t>
  </si>
  <si>
    <t>stop</t>
  </si>
  <si>
    <t>Open range</t>
  </si>
  <si>
    <t>open range</t>
  </si>
  <si>
    <t>california</t>
  </si>
  <si>
    <t>treasure cards</t>
  </si>
  <si>
    <t>sierra madre</t>
  </si>
  <si>
    <t>searching for lost treasure</t>
  </si>
  <si>
    <t>badlands</t>
  </si>
  <si>
    <t>railroad herald</t>
  </si>
  <si>
    <t>haunted waste</t>
  </si>
  <si>
    <t>haunted wastes</t>
  </si>
  <si>
    <t>dead man's gulch</t>
  </si>
  <si>
    <t>company bonus $2</t>
  </si>
  <si>
    <t>florida</t>
  </si>
  <si>
    <t>conductors tool box</t>
  </si>
  <si>
    <t>Player</t>
  </si>
  <si>
    <t>Claim</t>
  </si>
  <si>
    <t>Town 1</t>
  </si>
  <si>
    <t>Town 2</t>
  </si>
  <si>
    <t>Town 3</t>
  </si>
  <si>
    <t>Town 4</t>
  </si>
  <si>
    <t>Town 5</t>
  </si>
  <si>
    <t>Value 1</t>
  </si>
  <si>
    <t>Value 2</t>
  </si>
  <si>
    <t>Value 3</t>
  </si>
  <si>
    <t>Value 4</t>
  </si>
  <si>
    <t>Value 5</t>
  </si>
  <si>
    <t>Value 6</t>
  </si>
  <si>
    <t>Value 7</t>
  </si>
  <si>
    <t>SumValue</t>
  </si>
  <si>
    <t>Unknown</t>
  </si>
  <si>
    <t>extra</t>
  </si>
  <si>
    <t>player</t>
  </si>
  <si>
    <t>type</t>
  </si>
  <si>
    <t>points</t>
  </si>
  <si>
    <t>sticker 1</t>
  </si>
  <si>
    <t>sticker 2</t>
  </si>
  <si>
    <t>sticker 3</t>
  </si>
  <si>
    <t>sticker 4</t>
  </si>
  <si>
    <t>sticker 5</t>
  </si>
  <si>
    <t>sticker 6</t>
  </si>
  <si>
    <t>sumtotal</t>
  </si>
  <si>
    <t>NA</t>
  </si>
  <si>
    <t>sanctuary</t>
  </si>
  <si>
    <t>row</t>
  </si>
  <si>
    <t>column 1</t>
  </si>
  <si>
    <t>column 2</t>
  </si>
  <si>
    <t xml:space="preserve">column 3 </t>
  </si>
  <si>
    <t>column 4</t>
  </si>
  <si>
    <t>column 5</t>
  </si>
  <si>
    <t>column 6</t>
  </si>
  <si>
    <t>column 7</t>
  </si>
  <si>
    <t>column 8</t>
  </si>
  <si>
    <t>total</t>
  </si>
  <si>
    <t>c1</t>
  </si>
  <si>
    <t>c2</t>
  </si>
  <si>
    <t>c3</t>
  </si>
  <si>
    <t>c4</t>
  </si>
  <si>
    <t>c5</t>
  </si>
  <si>
    <t>c6</t>
  </si>
  <si>
    <t>c7</t>
  </si>
  <si>
    <t>c8</t>
  </si>
  <si>
    <t>r1</t>
  </si>
  <si>
    <t>r2</t>
  </si>
  <si>
    <t>r3</t>
  </si>
  <si>
    <t>r4</t>
  </si>
  <si>
    <t>r5</t>
  </si>
  <si>
    <t>r6</t>
  </si>
  <si>
    <t>r7</t>
  </si>
  <si>
    <t>r8</t>
  </si>
  <si>
    <t>Lewisburg</t>
  </si>
  <si>
    <t xml:space="preserve">Norfolk </t>
  </si>
  <si>
    <t>dummy</t>
  </si>
  <si>
    <t>DUMMY</t>
  </si>
  <si>
    <t>Pacific Haven</t>
  </si>
  <si>
    <t>game</t>
  </si>
  <si>
    <t>dollars</t>
  </si>
  <si>
    <t>Coins in hand</t>
  </si>
  <si>
    <t>Bonus for trains remaining</t>
  </si>
  <si>
    <t>Total ticket value</t>
  </si>
  <si>
    <t>Miscalculation</t>
  </si>
  <si>
    <t>missing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</si>
</sst>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theme="1"/>
      <name val="&quot;Aptos Narrow&quot;"/>
    </font>
    <font>
      <sz val="11.0"/>
      <color theme="1"/>
      <name val="Arial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rgb="FF434343"/>
      <name val="Roboto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2" fontId="6" numFmtId="0" xfId="0" applyAlignment="1" applyBorder="1" applyFill="1" applyFont="1">
      <alignment horizontal="right" shrinkToFit="0" vertical="center" wrapText="0"/>
    </xf>
    <xf borderId="2" fillId="2" fontId="6" numFmtId="0" xfId="0" applyAlignment="1" applyBorder="1" applyFont="1">
      <alignment shrinkToFit="0" vertical="center" wrapText="0"/>
    </xf>
    <xf borderId="3" fillId="3" fontId="6" numFmtId="0" xfId="0" applyAlignment="1" applyBorder="1" applyFill="1" applyFont="1">
      <alignment horizontal="right" shrinkToFit="0" vertical="center" wrapText="0"/>
    </xf>
    <xf borderId="4" fillId="3" fontId="6" numFmtId="0" xfId="0" applyAlignment="1" applyBorder="1" applyFont="1">
      <alignment shrinkToFit="0" vertical="center" wrapText="0"/>
    </xf>
    <xf borderId="5" fillId="3" fontId="6" numFmtId="0" xfId="0" applyAlignment="1" applyBorder="1" applyFont="1">
      <alignment horizontal="right" shrinkToFit="0" vertical="center" wrapText="0"/>
    </xf>
    <xf borderId="6" fillId="3" fontId="6" numFmtId="0" xfId="0" applyAlignment="1" applyBorder="1" applyFont="1">
      <alignment shrinkToFit="0" vertical="center" wrapText="0"/>
    </xf>
    <xf borderId="0" fillId="0" fontId="2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2" fillId="2" fontId="7" numFmtId="0" xfId="0" applyAlignment="1" applyBorder="1" applyFont="1">
      <alignment horizontal="right" shrinkToFit="0" vertical="bottom" wrapText="0"/>
    </xf>
    <xf borderId="4" fillId="3" fontId="7" numFmtId="0" xfId="0" applyAlignment="1" applyBorder="1" applyFont="1">
      <alignment horizontal="right" shrinkToFit="0" vertical="bottom" wrapText="0"/>
    </xf>
    <xf borderId="6" fillId="3" fontId="7" numFmtId="0" xfId="0" applyAlignment="1" applyBorder="1" applyFont="1">
      <alignment horizontal="right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9">
    <tableStyle count="4" pivot="0" name="Tick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mploye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v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ostOff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o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ai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ircu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imetab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nkslip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30" displayName="Tickets" name="Tickets" id="1">
  <tableColumns count="15">
    <tableColumn name="id" id="1"/>
    <tableColumn name="Box" id="2"/>
    <tableColumn name="To" id="3"/>
    <tableColumn name="From" id="4"/>
    <tableColumn name="Dollars" id="5"/>
    <tableColumn name="Black" id="6"/>
    <tableColumn name="Red" id="7"/>
    <tableColumn name="Blue" id="8"/>
    <tableColumn name="Green" id="9"/>
    <tableColumn name="Yellow" id="10"/>
    <tableColumn name="Active" id="11"/>
    <tableColumn name="Punches" id="12"/>
    <tableColumn name="Postcard" id="13"/>
    <tableColumn name="note" id="14"/>
    <tableColumn name="valid" id="15"/>
  </tableColumns>
  <tableStyleInfo name="Tickets-style" showColumnStripes="0" showFirstColumn="1" showLastColumn="1" showRowStripes="1"/>
</table>
</file>

<file path=xl/tables/table2.xml><?xml version="1.0" encoding="utf-8"?>
<table xmlns="http://schemas.openxmlformats.org/spreadsheetml/2006/main" ref="A1:E19" displayName="Employees" name="Employees" id="2">
  <tableColumns count="5">
    <tableColumn name="id" id="1"/>
    <tableColumn name="Name" id="2"/>
    <tableColumn name="Punches" id="3"/>
    <tableColumn name="Active" id="4"/>
    <tableColumn name="Origin" id="5"/>
  </tableColumns>
  <tableStyleInfo name="Employees-style" showColumnStripes="0" showFirstColumn="1" showLastColumn="1" showRowStripes="1"/>
</table>
</file>

<file path=xl/tables/table3.xml><?xml version="1.0" encoding="utf-8"?>
<table xmlns="http://schemas.openxmlformats.org/spreadsheetml/2006/main" ref="A1:E35" displayName="Events" name="Events" id="3">
  <tableColumns count="5">
    <tableColumn name="id" id="1"/>
    <tableColumn name="Name" id="2"/>
    <tableColumn name="Origin" id="3"/>
    <tableColumn name="Punched" id="4"/>
    <tableColumn name="Active" id="5"/>
  </tableColumns>
  <tableStyleInfo name="Events-style" showColumnStripes="0" showFirstColumn="1" showLastColumn="1" showRowStripes="1"/>
</table>
</file>

<file path=xl/tables/table4.xml><?xml version="1.0" encoding="utf-8"?>
<table xmlns="http://schemas.openxmlformats.org/spreadsheetml/2006/main" ref="A1:F63" displayName="PostCards" name="PostCards" id="4">
  <tableColumns count="6">
    <tableColumn name="id" id="1"/>
    <tableColumn name="Card" id="2"/>
    <tableColumn name="Read" id="3"/>
    <tableColumn name="Punched" id="4"/>
    <tableColumn name="Worth" id="5"/>
    <tableColumn name="Vault" id="6"/>
  </tableColumns>
  <tableStyleInfo name="PostOffice-style" showColumnStripes="0" showFirstColumn="1" showLastColumn="1" showRowStripes="1"/>
</table>
</file>

<file path=xl/tables/table5.xml><?xml version="1.0" encoding="utf-8"?>
<table xmlns="http://schemas.openxmlformats.org/spreadsheetml/2006/main" ref="A1:D40" displayName="Story" name="Story" id="5">
  <tableColumns count="4">
    <tableColumn name="id" id="1"/>
    <tableColumn name="Name" id="2"/>
    <tableColumn name="Year" id="3"/>
    <tableColumn name="location" id="4"/>
  </tableColumns>
  <tableStyleInfo name="Story-style" showColumnStripes="0" showFirstColumn="1" showLastColumn="1" showRowStripes="1"/>
</table>
</file>

<file path=xl/tables/table6.xml><?xml version="1.0" encoding="utf-8"?>
<table xmlns="http://schemas.openxmlformats.org/spreadsheetml/2006/main" ref="A1:O7" displayName="Claims" name="Claims" id="6">
  <tableColumns count="15">
    <tableColumn name="Player" id="1"/>
    <tableColumn name="Claim" id="2"/>
    <tableColumn name="Town 1" id="3"/>
    <tableColumn name="Town 2" id="4"/>
    <tableColumn name="Town 3" id="5"/>
    <tableColumn name="Town 4" id="6"/>
    <tableColumn name="Town 5" id="7"/>
    <tableColumn name="Value 1" id="8"/>
    <tableColumn name="Value 2" id="9"/>
    <tableColumn name="Value 3" id="10"/>
    <tableColumn name="Value 4" id="11"/>
    <tableColumn name="Value 5" id="12"/>
    <tableColumn name="Value 6" id="13"/>
    <tableColumn name="Value 7" id="14"/>
    <tableColumn name="SumValue" id="15"/>
  </tableColumns>
  <tableStyleInfo name="Claims-style" showColumnStripes="0" showFirstColumn="1" showLastColumn="1" showRowStripes="1"/>
</table>
</file>

<file path=xl/tables/table7.xml><?xml version="1.0" encoding="utf-8"?>
<table xmlns="http://schemas.openxmlformats.org/spreadsheetml/2006/main" ref="A1:J26" displayName="Table1" name="Table1" id="7">
  <tableColumns count="10">
    <tableColumn name="player" id="1"/>
    <tableColumn name="type" id="2"/>
    <tableColumn name="valid" id="3"/>
    <tableColumn name="points" id="4"/>
    <tableColumn name="sticker 1" id="5"/>
    <tableColumn name="sticker 2" id="6"/>
    <tableColumn name="sticker 3" id="7"/>
    <tableColumn name="sticker 4" id="8"/>
    <tableColumn name="sticker 5" id="9"/>
    <tableColumn name="sticker 6" id="10"/>
  </tableColumns>
  <tableStyleInfo name="Circus-style" showColumnStripes="0" showFirstColumn="1" showLastColumn="1" showRowStripes="1"/>
</table>
</file>

<file path=xl/tables/table8.xml><?xml version="1.0" encoding="utf-8"?>
<table xmlns="http://schemas.openxmlformats.org/spreadsheetml/2006/main" ref="A2:J50" displayName="Timetable" name="Timetable" id="8">
  <tableColumns count="10">
    <tableColumn name="row" id="1"/>
    <tableColumn name="column 1" id="2"/>
    <tableColumn name="column 2" id="3"/>
    <tableColumn name="column 3 " id="4"/>
    <tableColumn name="column 4" id="5"/>
    <tableColumn name="column 5" id="6"/>
    <tableColumn name="column 6" id="7"/>
    <tableColumn name="column 7" id="8"/>
    <tableColumn name="column 8" id="9"/>
    <tableColumn name="player" id="10"/>
  </tableColumns>
  <tableStyleInfo name="timetable-style" showColumnStripes="0" showFirstColumn="1" showLastColumn="1" showRowStripes="1"/>
</table>
</file>

<file path=xl/tables/table9.xml><?xml version="1.0" encoding="utf-8"?>
<table xmlns="http://schemas.openxmlformats.org/spreadsheetml/2006/main" ref="A1:G73" displayName="Bankslips" name="Bankslips" id="9">
  <tableColumns count="7">
    <tableColumn name="player" id="1"/>
    <tableColumn name="game" id="2"/>
    <tableColumn name="dollars" id="3"/>
    <tableColumn name="Coins in hand" id="4"/>
    <tableColumn name="Bonus for trains remaining" id="5"/>
    <tableColumn name="Total ticket value" id="6"/>
    <tableColumn name="Miscalculation" id="7"/>
  </tableColumns>
  <tableStyleInfo name="Bankslip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4.25"/>
    <col customWidth="1" min="2" max="2" width="19.5"/>
    <col customWidth="1" min="3" max="3" width="15.63"/>
    <col customWidth="1" min="4" max="4" width="16.0"/>
    <col customWidth="1" min="5" max="5" width="14.5"/>
    <col customWidth="1" min="6" max="6" width="13.25"/>
    <col customWidth="1" min="9" max="9" width="13.88"/>
    <col customWidth="1" min="10" max="10" width="14.0"/>
    <col customWidth="1" min="11" max="11" width="13.75"/>
    <col customWidth="1" min="12" max="12" width="15.88"/>
    <col customWidth="1" min="13" max="13" width="16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Q1" s="4" t="str">
        <f t="array" ref="Q1:Q10">unique(Tickets[[#ALL],[Box]])</f>
        <v>Box</v>
      </c>
      <c r="R1" s="5" t="s">
        <v>15</v>
      </c>
    </row>
    <row r="2" ht="22.5" customHeight="1">
      <c r="A2" s="6">
        <v>1.0</v>
      </c>
      <c r="B2" s="7" t="s">
        <v>16</v>
      </c>
      <c r="C2" s="8" t="s">
        <v>17</v>
      </c>
      <c r="D2" s="7" t="s">
        <v>18</v>
      </c>
      <c r="E2" s="6">
        <v>13.0</v>
      </c>
      <c r="F2" s="6">
        <v>1.0</v>
      </c>
      <c r="G2" s="6">
        <v>1.0</v>
      </c>
      <c r="H2" s="6">
        <v>0.0</v>
      </c>
      <c r="I2" s="6">
        <v>0.0</v>
      </c>
      <c r="J2" s="6">
        <v>1.0</v>
      </c>
      <c r="K2" s="6">
        <v>1.0</v>
      </c>
      <c r="L2" s="6">
        <f t="shared" ref="L2:L41" si="1">sum(F2:J2)</f>
        <v>3</v>
      </c>
      <c r="M2" s="6">
        <v>0.0</v>
      </c>
      <c r="N2" s="9"/>
      <c r="O2" s="10" t="str">
        <f t="shared" ref="O2:O130" si="2">if(and(M2&gt;0,L2=1),"postcard",if(max(F2:J2)=2,"general",if(K2&gt;0,"active","illegal")))</f>
        <v>active</v>
      </c>
      <c r="Q2" s="4" t="s">
        <v>16</v>
      </c>
      <c r="R2" s="4">
        <f>countif(Tickets[Box],Q2)</f>
        <v>9</v>
      </c>
    </row>
    <row r="3" ht="22.5" customHeight="1">
      <c r="A3" s="6">
        <v>2.0</v>
      </c>
      <c r="B3" s="7" t="s">
        <v>19</v>
      </c>
      <c r="C3" s="8" t="s">
        <v>20</v>
      </c>
      <c r="D3" s="7" t="s">
        <v>21</v>
      </c>
      <c r="E3" s="6">
        <v>5.0</v>
      </c>
      <c r="F3" s="6">
        <v>0.0</v>
      </c>
      <c r="G3" s="6">
        <v>0.0</v>
      </c>
      <c r="H3" s="6">
        <v>1.0</v>
      </c>
      <c r="I3" s="6">
        <v>1.0</v>
      </c>
      <c r="J3" s="6">
        <v>0.0</v>
      </c>
      <c r="K3" s="6">
        <v>1.0</v>
      </c>
      <c r="L3" s="6">
        <f t="shared" si="1"/>
        <v>2</v>
      </c>
      <c r="M3" s="6">
        <v>0.0</v>
      </c>
      <c r="N3" s="9"/>
      <c r="O3" s="10" t="str">
        <f t="shared" si="2"/>
        <v>active</v>
      </c>
      <c r="Q3" s="4" t="s">
        <v>19</v>
      </c>
      <c r="R3" s="4">
        <f>countif(Tickets[Box],Q3)</f>
        <v>14</v>
      </c>
    </row>
    <row r="4" ht="22.5" customHeight="1">
      <c r="A4" s="6">
        <v>3.0</v>
      </c>
      <c r="B4" s="7" t="s">
        <v>22</v>
      </c>
      <c r="C4" s="8" t="s">
        <v>23</v>
      </c>
      <c r="D4" s="7" t="s">
        <v>24</v>
      </c>
      <c r="E4" s="6">
        <v>9.0</v>
      </c>
      <c r="F4" s="6">
        <v>1.0</v>
      </c>
      <c r="G4" s="6">
        <v>1.0</v>
      </c>
      <c r="H4" s="6">
        <v>1.0</v>
      </c>
      <c r="I4" s="6">
        <v>1.0</v>
      </c>
      <c r="J4" s="6">
        <v>0.0</v>
      </c>
      <c r="K4" s="6">
        <v>1.0</v>
      </c>
      <c r="L4" s="6">
        <f t="shared" si="1"/>
        <v>4</v>
      </c>
      <c r="M4" s="6">
        <v>0.0</v>
      </c>
      <c r="N4" s="9"/>
      <c r="O4" s="10" t="str">
        <f t="shared" si="2"/>
        <v>active</v>
      </c>
      <c r="Q4" s="4" t="s">
        <v>22</v>
      </c>
      <c r="R4" s="4">
        <f>countif(Tickets[Box],Q4)</f>
        <v>7</v>
      </c>
    </row>
    <row r="5" ht="22.5" customHeight="1">
      <c r="A5" s="6">
        <v>4.0</v>
      </c>
      <c r="B5" s="7" t="s">
        <v>25</v>
      </c>
      <c r="C5" s="8" t="s">
        <v>26</v>
      </c>
      <c r="D5" s="7" t="s">
        <v>27</v>
      </c>
      <c r="E5" s="6">
        <v>22.0</v>
      </c>
      <c r="F5" s="6">
        <v>1.0</v>
      </c>
      <c r="G5" s="6">
        <v>0.0</v>
      </c>
      <c r="H5" s="6">
        <v>1.0</v>
      </c>
      <c r="I5" s="6">
        <v>1.0</v>
      </c>
      <c r="J5" s="6">
        <v>0.0</v>
      </c>
      <c r="K5" s="6">
        <v>1.0</v>
      </c>
      <c r="L5" s="6">
        <f t="shared" si="1"/>
        <v>3</v>
      </c>
      <c r="M5" s="6">
        <v>0.0</v>
      </c>
      <c r="N5" s="9"/>
      <c r="O5" s="10" t="str">
        <f t="shared" si="2"/>
        <v>active</v>
      </c>
      <c r="Q5" s="4" t="s">
        <v>25</v>
      </c>
      <c r="R5" s="4">
        <f>countif(Tickets[Box],Q5)</f>
        <v>12</v>
      </c>
    </row>
    <row r="6" ht="22.5" customHeight="1">
      <c r="A6" s="6">
        <v>5.0</v>
      </c>
      <c r="B6" s="7" t="s">
        <v>28</v>
      </c>
      <c r="C6" s="8" t="s">
        <v>29</v>
      </c>
      <c r="D6" s="7" t="s">
        <v>30</v>
      </c>
      <c r="E6" s="6">
        <v>13.0</v>
      </c>
      <c r="F6" s="6">
        <v>1.0</v>
      </c>
      <c r="G6" s="6">
        <v>0.0</v>
      </c>
      <c r="H6" s="6">
        <v>0.0</v>
      </c>
      <c r="I6" s="6">
        <v>0.0</v>
      </c>
      <c r="J6" s="6">
        <v>0.0</v>
      </c>
      <c r="K6" s="6">
        <v>1.0</v>
      </c>
      <c r="L6" s="6">
        <f t="shared" si="1"/>
        <v>1</v>
      </c>
      <c r="M6" s="6">
        <v>0.0</v>
      </c>
      <c r="N6" s="9"/>
      <c r="O6" s="10" t="str">
        <f t="shared" si="2"/>
        <v>active</v>
      </c>
      <c r="Q6" s="4" t="s">
        <v>28</v>
      </c>
      <c r="R6" s="4">
        <f>countif(Tickets[Box],Q6)</f>
        <v>10</v>
      </c>
    </row>
    <row r="7" ht="22.5" customHeight="1">
      <c r="A7" s="6">
        <v>6.0</v>
      </c>
      <c r="B7" s="7" t="s">
        <v>28</v>
      </c>
      <c r="C7" s="8" t="s">
        <v>29</v>
      </c>
      <c r="D7" s="7" t="s">
        <v>27</v>
      </c>
      <c r="E7" s="6">
        <v>15.0</v>
      </c>
      <c r="F7" s="6">
        <v>1.0</v>
      </c>
      <c r="G7" s="6">
        <v>0.0</v>
      </c>
      <c r="H7" s="6">
        <v>1.0</v>
      </c>
      <c r="I7" s="6">
        <v>1.0</v>
      </c>
      <c r="J7" s="6">
        <v>0.0</v>
      </c>
      <c r="K7" s="6">
        <v>1.0</v>
      </c>
      <c r="L7" s="6">
        <f t="shared" si="1"/>
        <v>3</v>
      </c>
      <c r="M7" s="6">
        <v>0.0</v>
      </c>
      <c r="N7" s="9"/>
      <c r="O7" s="10" t="str">
        <f t="shared" si="2"/>
        <v>active</v>
      </c>
      <c r="Q7" s="4" t="s">
        <v>31</v>
      </c>
      <c r="R7" s="4">
        <f>countif(Tickets[Box],Q7)</f>
        <v>15</v>
      </c>
    </row>
    <row r="8" ht="22.5" customHeight="1">
      <c r="A8" s="6">
        <v>7.0</v>
      </c>
      <c r="B8" s="7" t="s">
        <v>31</v>
      </c>
      <c r="C8" s="8" t="s">
        <v>32</v>
      </c>
      <c r="D8" s="7" t="s">
        <v>33</v>
      </c>
      <c r="E8" s="6">
        <v>20.0</v>
      </c>
      <c r="F8" s="6">
        <v>0.0</v>
      </c>
      <c r="G8" s="6">
        <v>1.0</v>
      </c>
      <c r="H8" s="6">
        <v>0.0</v>
      </c>
      <c r="I8" s="6">
        <v>1.0</v>
      </c>
      <c r="J8" s="6">
        <v>0.0</v>
      </c>
      <c r="K8" s="6">
        <v>1.0</v>
      </c>
      <c r="L8" s="6">
        <f t="shared" si="1"/>
        <v>2</v>
      </c>
      <c r="M8" s="6">
        <v>0.0</v>
      </c>
      <c r="N8" s="9"/>
      <c r="O8" s="10" t="str">
        <f t="shared" si="2"/>
        <v>active</v>
      </c>
      <c r="Q8" s="4" t="s">
        <v>34</v>
      </c>
      <c r="R8" s="4">
        <f>countif(Tickets[Box],Q8)</f>
        <v>14</v>
      </c>
    </row>
    <row r="9" ht="22.5" customHeight="1">
      <c r="A9" s="6">
        <v>8.0</v>
      </c>
      <c r="B9" s="7" t="s">
        <v>31</v>
      </c>
      <c r="C9" s="8" t="s">
        <v>35</v>
      </c>
      <c r="D9" s="7" t="s">
        <v>36</v>
      </c>
      <c r="E9" s="6">
        <v>20.0</v>
      </c>
      <c r="F9" s="6">
        <v>1.0</v>
      </c>
      <c r="G9" s="6">
        <v>0.0</v>
      </c>
      <c r="H9" s="6">
        <v>0.0</v>
      </c>
      <c r="I9" s="6">
        <v>1.0</v>
      </c>
      <c r="J9" s="6">
        <v>0.0</v>
      </c>
      <c r="K9" s="6">
        <v>1.0</v>
      </c>
      <c r="L9" s="6">
        <f t="shared" si="1"/>
        <v>2</v>
      </c>
      <c r="M9" s="6">
        <v>0.0</v>
      </c>
      <c r="N9" s="9"/>
      <c r="O9" s="10" t="str">
        <f t="shared" si="2"/>
        <v>active</v>
      </c>
      <c r="Q9" s="4" t="s">
        <v>37</v>
      </c>
      <c r="R9" s="4">
        <f>countif(Tickets[Box],Q9)</f>
        <v>15</v>
      </c>
    </row>
    <row r="10" ht="22.5" customHeight="1">
      <c r="A10" s="6">
        <v>9.0</v>
      </c>
      <c r="B10" s="7" t="s">
        <v>28</v>
      </c>
      <c r="C10" s="8" t="s">
        <v>38</v>
      </c>
      <c r="D10" s="7" t="s">
        <v>39</v>
      </c>
      <c r="E10" s="6">
        <v>17.0</v>
      </c>
      <c r="F10" s="6">
        <v>1.0</v>
      </c>
      <c r="G10" s="6">
        <v>0.0</v>
      </c>
      <c r="H10" s="6">
        <v>1.0</v>
      </c>
      <c r="I10" s="6">
        <v>1.0</v>
      </c>
      <c r="J10" s="6">
        <v>0.0</v>
      </c>
      <c r="K10" s="6">
        <v>1.0</v>
      </c>
      <c r="L10" s="6">
        <f t="shared" si="1"/>
        <v>3</v>
      </c>
      <c r="M10" s="6">
        <v>0.0</v>
      </c>
      <c r="N10" s="9"/>
      <c r="O10" s="10" t="str">
        <f t="shared" si="2"/>
        <v>active</v>
      </c>
      <c r="Q10" s="4" t="s">
        <v>40</v>
      </c>
      <c r="R10" s="4">
        <f>countif(Tickets[Box],Q10)</f>
        <v>33</v>
      </c>
    </row>
    <row r="11" ht="22.5" customHeight="1">
      <c r="A11" s="6">
        <v>10.0</v>
      </c>
      <c r="B11" s="7" t="s">
        <v>25</v>
      </c>
      <c r="C11" s="8" t="s">
        <v>26</v>
      </c>
      <c r="D11" s="7" t="s">
        <v>41</v>
      </c>
      <c r="E11" s="6">
        <v>13.0</v>
      </c>
      <c r="F11" s="6">
        <v>1.0</v>
      </c>
      <c r="G11" s="6">
        <v>0.0</v>
      </c>
      <c r="H11" s="6">
        <v>1.0</v>
      </c>
      <c r="I11" s="6">
        <v>0.0</v>
      </c>
      <c r="J11" s="6">
        <v>1.0</v>
      </c>
      <c r="K11" s="6">
        <v>1.0</v>
      </c>
      <c r="L11" s="6">
        <f t="shared" si="1"/>
        <v>3</v>
      </c>
      <c r="M11" s="6">
        <v>0.0</v>
      </c>
      <c r="N11" s="9"/>
      <c r="O11" s="10" t="str">
        <f t="shared" si="2"/>
        <v>active</v>
      </c>
      <c r="Q11" s="5" t="s">
        <v>42</v>
      </c>
      <c r="R11" s="4">
        <f>sum(R2:R10)</f>
        <v>129</v>
      </c>
    </row>
    <row r="12" ht="22.5" customHeight="1">
      <c r="A12" s="6">
        <v>11.0</v>
      </c>
      <c r="B12" s="7" t="s">
        <v>25</v>
      </c>
      <c r="C12" s="8" t="s">
        <v>43</v>
      </c>
      <c r="D12" s="7" t="s">
        <v>23</v>
      </c>
      <c r="E12" s="6">
        <v>17.0</v>
      </c>
      <c r="F12" s="6">
        <v>1.0</v>
      </c>
      <c r="G12" s="6">
        <v>1.0</v>
      </c>
      <c r="H12" s="6">
        <v>0.0</v>
      </c>
      <c r="I12" s="6">
        <v>0.0</v>
      </c>
      <c r="J12" s="6">
        <v>1.0</v>
      </c>
      <c r="K12" s="6">
        <v>1.0</v>
      </c>
      <c r="L12" s="6">
        <f t="shared" si="1"/>
        <v>3</v>
      </c>
      <c r="M12" s="6">
        <v>0.0</v>
      </c>
      <c r="N12" s="9"/>
      <c r="O12" s="10" t="str">
        <f t="shared" si="2"/>
        <v>active</v>
      </c>
    </row>
    <row r="13" ht="22.5" customHeight="1">
      <c r="A13" s="6">
        <v>12.0</v>
      </c>
      <c r="B13" s="7" t="s">
        <v>31</v>
      </c>
      <c r="C13" s="8" t="s">
        <v>35</v>
      </c>
      <c r="D13" s="7" t="s">
        <v>23</v>
      </c>
      <c r="E13" s="6">
        <v>23.0</v>
      </c>
      <c r="F13" s="6">
        <v>1.0</v>
      </c>
      <c r="G13" s="6">
        <v>0.0</v>
      </c>
      <c r="H13" s="6">
        <v>0.0</v>
      </c>
      <c r="I13" s="6">
        <v>0.0</v>
      </c>
      <c r="J13" s="6">
        <v>0.0</v>
      </c>
      <c r="K13" s="6">
        <v>1.0</v>
      </c>
      <c r="L13" s="6">
        <f t="shared" si="1"/>
        <v>1</v>
      </c>
      <c r="M13" s="6">
        <v>0.0</v>
      </c>
      <c r="N13" s="9"/>
      <c r="O13" s="10" t="str">
        <f t="shared" si="2"/>
        <v>active</v>
      </c>
    </row>
    <row r="14" ht="22.5" customHeight="1">
      <c r="A14" s="6">
        <v>13.0</v>
      </c>
      <c r="B14" s="7" t="s">
        <v>31</v>
      </c>
      <c r="C14" s="8" t="s">
        <v>32</v>
      </c>
      <c r="D14" s="7" t="s">
        <v>44</v>
      </c>
      <c r="E14" s="6">
        <v>20.0</v>
      </c>
      <c r="F14" s="6">
        <v>1.0</v>
      </c>
      <c r="G14" s="6">
        <v>1.0</v>
      </c>
      <c r="H14" s="6">
        <v>0.0</v>
      </c>
      <c r="I14" s="6">
        <v>0.0</v>
      </c>
      <c r="J14" s="6">
        <v>0.0</v>
      </c>
      <c r="K14" s="6">
        <v>1.0</v>
      </c>
      <c r="L14" s="6">
        <f t="shared" si="1"/>
        <v>2</v>
      </c>
      <c r="M14" s="6">
        <v>0.0</v>
      </c>
      <c r="N14" s="9"/>
      <c r="O14" s="10" t="str">
        <f t="shared" si="2"/>
        <v>active</v>
      </c>
    </row>
    <row r="15" ht="22.5" customHeight="1">
      <c r="A15" s="6">
        <v>14.0</v>
      </c>
      <c r="B15" s="7" t="s">
        <v>31</v>
      </c>
      <c r="C15" s="8" t="s">
        <v>45</v>
      </c>
      <c r="D15" s="7" t="s">
        <v>46</v>
      </c>
      <c r="E15" s="6">
        <v>23.0</v>
      </c>
      <c r="F15" s="6">
        <v>1.0</v>
      </c>
      <c r="G15" s="6">
        <v>0.0</v>
      </c>
      <c r="H15" s="6">
        <v>0.0</v>
      </c>
      <c r="I15" s="6">
        <v>0.0</v>
      </c>
      <c r="J15" s="6">
        <v>0.0</v>
      </c>
      <c r="K15" s="6">
        <v>1.0</v>
      </c>
      <c r="L15" s="6">
        <f t="shared" si="1"/>
        <v>1</v>
      </c>
      <c r="M15" s="6">
        <v>0.0</v>
      </c>
      <c r="N15" s="9"/>
      <c r="O15" s="10" t="str">
        <f t="shared" si="2"/>
        <v>active</v>
      </c>
    </row>
    <row r="16" ht="22.5" customHeight="1">
      <c r="A16" s="6">
        <v>15.0</v>
      </c>
      <c r="B16" s="7" t="s">
        <v>31</v>
      </c>
      <c r="C16" s="8" t="s">
        <v>47</v>
      </c>
      <c r="D16" s="7" t="s">
        <v>48</v>
      </c>
      <c r="E16" s="6">
        <v>15.0</v>
      </c>
      <c r="F16" s="6">
        <v>0.0</v>
      </c>
      <c r="G16" s="6">
        <v>1.0</v>
      </c>
      <c r="H16" s="6">
        <v>0.0</v>
      </c>
      <c r="I16" s="6">
        <v>0.0</v>
      </c>
      <c r="J16" s="6">
        <v>0.0</v>
      </c>
      <c r="K16" s="6">
        <v>1.0</v>
      </c>
      <c r="L16" s="6">
        <f t="shared" si="1"/>
        <v>1</v>
      </c>
      <c r="M16" s="6">
        <v>0.0</v>
      </c>
      <c r="N16" s="9"/>
      <c r="O16" s="10" t="str">
        <f t="shared" si="2"/>
        <v>active</v>
      </c>
    </row>
    <row r="17" ht="22.5" customHeight="1">
      <c r="A17" s="6">
        <v>16.0</v>
      </c>
      <c r="B17" s="7" t="s">
        <v>34</v>
      </c>
      <c r="C17" s="8" t="s">
        <v>49</v>
      </c>
      <c r="D17" s="7" t="s">
        <v>41</v>
      </c>
      <c r="E17" s="6">
        <v>16.0</v>
      </c>
      <c r="F17" s="6">
        <v>0.0</v>
      </c>
      <c r="G17" s="6">
        <v>1.0</v>
      </c>
      <c r="H17" s="6">
        <v>1.0</v>
      </c>
      <c r="I17" s="6">
        <v>0.0</v>
      </c>
      <c r="J17" s="6">
        <v>0.0</v>
      </c>
      <c r="K17" s="6">
        <v>1.0</v>
      </c>
      <c r="L17" s="6">
        <f t="shared" si="1"/>
        <v>2</v>
      </c>
      <c r="M17" s="6">
        <v>0.0</v>
      </c>
      <c r="N17" s="9"/>
      <c r="O17" s="10" t="str">
        <f t="shared" si="2"/>
        <v>active</v>
      </c>
    </row>
    <row r="18" ht="22.5" customHeight="1">
      <c r="A18" s="6">
        <v>17.0</v>
      </c>
      <c r="B18" s="7" t="s">
        <v>31</v>
      </c>
      <c r="C18" s="8" t="s">
        <v>50</v>
      </c>
      <c r="D18" s="7" t="s">
        <v>51</v>
      </c>
      <c r="E18" s="6">
        <v>23.0</v>
      </c>
      <c r="F18" s="6">
        <v>0.0</v>
      </c>
      <c r="G18" s="6">
        <v>1.0</v>
      </c>
      <c r="H18" s="6">
        <v>0.0</v>
      </c>
      <c r="I18" s="6">
        <v>0.0</v>
      </c>
      <c r="J18" s="6">
        <v>0.0</v>
      </c>
      <c r="K18" s="6">
        <v>1.0</v>
      </c>
      <c r="L18" s="6">
        <f t="shared" si="1"/>
        <v>1</v>
      </c>
      <c r="M18" s="6">
        <v>0.0</v>
      </c>
      <c r="N18" s="9"/>
      <c r="O18" s="10" t="str">
        <f t="shared" si="2"/>
        <v>active</v>
      </c>
    </row>
    <row r="19" ht="22.5" customHeight="1">
      <c r="A19" s="6">
        <v>18.0</v>
      </c>
      <c r="B19" s="7" t="s">
        <v>34</v>
      </c>
      <c r="C19" s="8" t="s">
        <v>52</v>
      </c>
      <c r="D19" s="7" t="s">
        <v>30</v>
      </c>
      <c r="E19" s="6">
        <v>21.0</v>
      </c>
      <c r="F19" s="6">
        <v>1.0</v>
      </c>
      <c r="G19" s="6">
        <v>1.0</v>
      </c>
      <c r="H19" s="6">
        <v>0.0</v>
      </c>
      <c r="I19" s="6">
        <v>0.0</v>
      </c>
      <c r="J19" s="6">
        <v>1.0</v>
      </c>
      <c r="K19" s="6">
        <v>1.0</v>
      </c>
      <c r="L19" s="6">
        <f t="shared" si="1"/>
        <v>3</v>
      </c>
      <c r="M19" s="6">
        <v>0.0</v>
      </c>
      <c r="N19" s="9"/>
      <c r="O19" s="10" t="str">
        <f t="shared" si="2"/>
        <v>active</v>
      </c>
    </row>
    <row r="20" ht="22.5" customHeight="1">
      <c r="A20" s="6">
        <v>19.0</v>
      </c>
      <c r="B20" s="7" t="s">
        <v>28</v>
      </c>
      <c r="C20" s="8" t="s">
        <v>53</v>
      </c>
      <c r="D20" s="7" t="s">
        <v>54</v>
      </c>
      <c r="E20" s="6">
        <v>14.0</v>
      </c>
      <c r="F20" s="6">
        <v>0.0</v>
      </c>
      <c r="G20" s="6">
        <v>0.0</v>
      </c>
      <c r="H20" s="6">
        <v>1.0</v>
      </c>
      <c r="I20" s="6">
        <v>1.0</v>
      </c>
      <c r="J20" s="6">
        <v>2.0</v>
      </c>
      <c r="K20" s="6">
        <v>0.0</v>
      </c>
      <c r="L20" s="6">
        <f t="shared" si="1"/>
        <v>4</v>
      </c>
      <c r="M20" s="6">
        <v>0.0</v>
      </c>
      <c r="N20" s="11"/>
      <c r="O20" s="10" t="str">
        <f t="shared" si="2"/>
        <v>general</v>
      </c>
    </row>
    <row r="21" ht="22.5" customHeight="1">
      <c r="A21" s="6">
        <v>20.0</v>
      </c>
      <c r="B21" s="7" t="s">
        <v>31</v>
      </c>
      <c r="C21" s="8" t="s">
        <v>55</v>
      </c>
      <c r="D21" s="7" t="s">
        <v>56</v>
      </c>
      <c r="E21" s="6">
        <v>13.0</v>
      </c>
      <c r="F21" s="6">
        <v>0.0</v>
      </c>
      <c r="G21" s="6">
        <v>1.0</v>
      </c>
      <c r="H21" s="6">
        <v>0.0</v>
      </c>
      <c r="I21" s="6">
        <v>0.0</v>
      </c>
      <c r="J21" s="6">
        <v>1.0</v>
      </c>
      <c r="K21" s="6">
        <v>1.0</v>
      </c>
      <c r="L21" s="6">
        <f t="shared" si="1"/>
        <v>2</v>
      </c>
      <c r="M21" s="6">
        <v>0.0</v>
      </c>
      <c r="N21" s="9"/>
      <c r="O21" s="10" t="str">
        <f t="shared" si="2"/>
        <v>active</v>
      </c>
    </row>
    <row r="22" ht="22.5" customHeight="1">
      <c r="A22" s="6">
        <v>21.0</v>
      </c>
      <c r="B22" s="7" t="s">
        <v>28</v>
      </c>
      <c r="C22" s="8" t="s">
        <v>38</v>
      </c>
      <c r="D22" s="7" t="s">
        <v>57</v>
      </c>
      <c r="E22" s="6">
        <v>5.0</v>
      </c>
      <c r="F22" s="6">
        <v>1.0</v>
      </c>
      <c r="G22" s="6">
        <v>0.0</v>
      </c>
      <c r="H22" s="6">
        <v>0.0</v>
      </c>
      <c r="I22" s="6">
        <v>0.0</v>
      </c>
      <c r="J22" s="6">
        <v>0.0</v>
      </c>
      <c r="K22" s="6">
        <v>1.0</v>
      </c>
      <c r="L22" s="6">
        <f t="shared" si="1"/>
        <v>1</v>
      </c>
      <c r="M22" s="6">
        <v>0.0</v>
      </c>
      <c r="N22" s="9"/>
      <c r="O22" s="10" t="str">
        <f t="shared" si="2"/>
        <v>active</v>
      </c>
    </row>
    <row r="23" ht="22.5" customHeight="1">
      <c r="A23" s="6">
        <v>22.0</v>
      </c>
      <c r="B23" s="7" t="s">
        <v>28</v>
      </c>
      <c r="C23" s="8" t="s">
        <v>29</v>
      </c>
      <c r="D23" s="7" t="s">
        <v>58</v>
      </c>
      <c r="E23" s="6">
        <v>8.0</v>
      </c>
      <c r="F23" s="6">
        <v>1.0</v>
      </c>
      <c r="G23" s="6">
        <v>0.0</v>
      </c>
      <c r="H23" s="6">
        <v>0.0</v>
      </c>
      <c r="I23" s="6">
        <v>0.0</v>
      </c>
      <c r="J23" s="6">
        <v>1.0</v>
      </c>
      <c r="K23" s="6">
        <v>1.0</v>
      </c>
      <c r="L23" s="6">
        <f t="shared" si="1"/>
        <v>2</v>
      </c>
      <c r="M23" s="6">
        <v>0.0</v>
      </c>
      <c r="N23" s="9"/>
      <c r="O23" s="10" t="str">
        <f t="shared" si="2"/>
        <v>active</v>
      </c>
    </row>
    <row r="24" ht="22.5" customHeight="1">
      <c r="A24" s="6">
        <v>23.0</v>
      </c>
      <c r="B24" s="7" t="s">
        <v>34</v>
      </c>
      <c r="C24" s="8" t="s">
        <v>59</v>
      </c>
      <c r="D24" s="7" t="s">
        <v>60</v>
      </c>
      <c r="E24" s="6">
        <v>18.0</v>
      </c>
      <c r="F24" s="6">
        <v>0.0</v>
      </c>
      <c r="G24" s="6">
        <v>0.0</v>
      </c>
      <c r="H24" s="6">
        <v>0.0</v>
      </c>
      <c r="I24" s="6">
        <v>1.0</v>
      </c>
      <c r="J24" s="6">
        <v>2.0</v>
      </c>
      <c r="K24" s="6">
        <v>0.0</v>
      </c>
      <c r="L24" s="6">
        <f t="shared" si="1"/>
        <v>3</v>
      </c>
      <c r="M24" s="6">
        <v>0.0</v>
      </c>
      <c r="N24" s="11"/>
      <c r="O24" s="10" t="str">
        <f t="shared" si="2"/>
        <v>general</v>
      </c>
    </row>
    <row r="25" ht="22.5" customHeight="1">
      <c r="A25" s="6">
        <v>24.0</v>
      </c>
      <c r="B25" s="7" t="s">
        <v>31</v>
      </c>
      <c r="C25" s="8" t="s">
        <v>45</v>
      </c>
      <c r="D25" s="7" t="s">
        <v>58</v>
      </c>
      <c r="E25" s="6">
        <v>18.0</v>
      </c>
      <c r="F25" s="6">
        <v>0.0</v>
      </c>
      <c r="G25" s="6">
        <v>0.0</v>
      </c>
      <c r="H25" s="6">
        <v>0.0</v>
      </c>
      <c r="I25" s="6">
        <v>0.0</v>
      </c>
      <c r="J25" s="6">
        <v>2.0</v>
      </c>
      <c r="K25" s="6">
        <v>0.0</v>
      </c>
      <c r="L25" s="6">
        <f t="shared" si="1"/>
        <v>2</v>
      </c>
      <c r="M25" s="6">
        <v>0.0</v>
      </c>
      <c r="N25" s="11"/>
      <c r="O25" s="10" t="str">
        <f t="shared" si="2"/>
        <v>general</v>
      </c>
    </row>
    <row r="26" ht="22.5" customHeight="1">
      <c r="A26" s="6">
        <v>25.0</v>
      </c>
      <c r="B26" s="7" t="s">
        <v>25</v>
      </c>
      <c r="C26" s="8" t="s">
        <v>61</v>
      </c>
      <c r="D26" s="7" t="s">
        <v>48</v>
      </c>
      <c r="E26" s="6">
        <v>10.0</v>
      </c>
      <c r="F26" s="6">
        <v>1.0</v>
      </c>
      <c r="G26" s="6">
        <v>0.0</v>
      </c>
      <c r="H26" s="6">
        <v>0.0</v>
      </c>
      <c r="I26" s="6">
        <v>0.0</v>
      </c>
      <c r="J26" s="6">
        <v>1.0</v>
      </c>
      <c r="K26" s="6">
        <v>1.0</v>
      </c>
      <c r="L26" s="6">
        <f t="shared" si="1"/>
        <v>2</v>
      </c>
      <c r="M26" s="6">
        <v>0.0</v>
      </c>
      <c r="N26" s="9"/>
      <c r="O26" s="10" t="str">
        <f t="shared" si="2"/>
        <v>active</v>
      </c>
    </row>
    <row r="27" ht="22.5" customHeight="1">
      <c r="A27" s="6">
        <v>26.0</v>
      </c>
      <c r="B27" s="7" t="s">
        <v>22</v>
      </c>
      <c r="C27" s="8" t="s">
        <v>18</v>
      </c>
      <c r="D27" s="7" t="s">
        <v>62</v>
      </c>
      <c r="E27" s="6">
        <v>10.0</v>
      </c>
      <c r="F27" s="6">
        <v>0.0</v>
      </c>
      <c r="G27" s="6">
        <v>1.0</v>
      </c>
      <c r="H27" s="6">
        <v>1.0</v>
      </c>
      <c r="I27" s="6">
        <v>0.0</v>
      </c>
      <c r="J27" s="6">
        <v>1.0</v>
      </c>
      <c r="K27" s="6">
        <v>1.0</v>
      </c>
      <c r="L27" s="6">
        <f t="shared" si="1"/>
        <v>3</v>
      </c>
      <c r="M27" s="6">
        <v>0.0</v>
      </c>
      <c r="N27" s="9"/>
      <c r="O27" s="10" t="str">
        <f t="shared" si="2"/>
        <v>active</v>
      </c>
    </row>
    <row r="28" ht="22.5" customHeight="1">
      <c r="A28" s="6">
        <v>27.0</v>
      </c>
      <c r="B28" s="7" t="s">
        <v>19</v>
      </c>
      <c r="C28" s="8" t="s">
        <v>63</v>
      </c>
      <c r="D28" s="7" t="s">
        <v>64</v>
      </c>
      <c r="E28" s="6">
        <v>10.0</v>
      </c>
      <c r="F28" s="6">
        <v>1.0</v>
      </c>
      <c r="G28" s="6">
        <v>1.0</v>
      </c>
      <c r="H28" s="6">
        <v>1.0</v>
      </c>
      <c r="I28" s="6">
        <v>1.0</v>
      </c>
      <c r="J28" s="6">
        <v>0.0</v>
      </c>
      <c r="K28" s="6">
        <v>1.0</v>
      </c>
      <c r="L28" s="6">
        <f t="shared" si="1"/>
        <v>4</v>
      </c>
      <c r="M28" s="6">
        <v>0.0</v>
      </c>
      <c r="N28" s="9"/>
      <c r="O28" s="10" t="str">
        <f t="shared" si="2"/>
        <v>active</v>
      </c>
    </row>
    <row r="29" ht="22.5" customHeight="1">
      <c r="A29" s="6">
        <v>28.0</v>
      </c>
      <c r="B29" s="7" t="s">
        <v>28</v>
      </c>
      <c r="C29" s="8" t="s">
        <v>38</v>
      </c>
      <c r="D29" s="7" t="s">
        <v>51</v>
      </c>
      <c r="E29" s="6">
        <v>16.0</v>
      </c>
      <c r="F29" s="6">
        <v>0.0</v>
      </c>
      <c r="G29" s="6">
        <v>0.0</v>
      </c>
      <c r="H29" s="6">
        <v>1.0</v>
      </c>
      <c r="I29" s="6">
        <v>0.0</v>
      </c>
      <c r="J29" s="6">
        <v>0.0</v>
      </c>
      <c r="K29" s="6">
        <v>1.0</v>
      </c>
      <c r="L29" s="6">
        <f t="shared" si="1"/>
        <v>1</v>
      </c>
      <c r="M29" s="6">
        <v>0.0</v>
      </c>
      <c r="N29" s="9"/>
      <c r="O29" s="10" t="str">
        <f t="shared" si="2"/>
        <v>active</v>
      </c>
    </row>
    <row r="30" ht="22.5" customHeight="1">
      <c r="A30" s="6">
        <v>69.0</v>
      </c>
      <c r="B30" s="7" t="s">
        <v>34</v>
      </c>
      <c r="C30" s="8" t="s">
        <v>65</v>
      </c>
      <c r="D30" s="7" t="s">
        <v>66</v>
      </c>
      <c r="E30" s="6">
        <v>18.0</v>
      </c>
      <c r="F30" s="6">
        <v>0.0</v>
      </c>
      <c r="G30" s="6">
        <v>0.0</v>
      </c>
      <c r="H30" s="6">
        <v>0.0</v>
      </c>
      <c r="I30" s="6">
        <v>1.0</v>
      </c>
      <c r="J30" s="6">
        <v>0.0</v>
      </c>
      <c r="K30" s="6">
        <v>1.0</v>
      </c>
      <c r="L30" s="6">
        <f t="shared" si="1"/>
        <v>1</v>
      </c>
      <c r="M30" s="6">
        <v>0.0</v>
      </c>
      <c r="N30" s="9"/>
      <c r="O30" s="10" t="str">
        <f t="shared" si="2"/>
        <v>active</v>
      </c>
    </row>
    <row r="31" ht="22.5" customHeight="1">
      <c r="A31" s="6">
        <v>70.0</v>
      </c>
      <c r="B31" s="7" t="s">
        <v>34</v>
      </c>
      <c r="C31" s="8" t="s">
        <v>67</v>
      </c>
      <c r="D31" s="7" t="s">
        <v>33</v>
      </c>
      <c r="E31" s="6">
        <v>21.0</v>
      </c>
      <c r="F31" s="6">
        <v>0.0</v>
      </c>
      <c r="G31" s="6">
        <v>1.0</v>
      </c>
      <c r="H31" s="6">
        <v>0.0</v>
      </c>
      <c r="I31" s="6">
        <v>0.0</v>
      </c>
      <c r="J31" s="6">
        <v>1.0</v>
      </c>
      <c r="K31" s="6">
        <v>1.0</v>
      </c>
      <c r="L31" s="6">
        <f t="shared" si="1"/>
        <v>2</v>
      </c>
      <c r="M31" s="6">
        <v>0.0</v>
      </c>
      <c r="N31" s="9"/>
      <c r="O31" s="10" t="str">
        <f t="shared" si="2"/>
        <v>active</v>
      </c>
    </row>
    <row r="32" ht="22.5" customHeight="1">
      <c r="A32" s="6">
        <v>71.0</v>
      </c>
      <c r="B32" s="7" t="s">
        <v>37</v>
      </c>
      <c r="C32" s="8" t="s">
        <v>68</v>
      </c>
      <c r="D32" s="7" t="s">
        <v>69</v>
      </c>
      <c r="E32" s="6">
        <v>10.0</v>
      </c>
      <c r="F32" s="6">
        <v>1.0</v>
      </c>
      <c r="G32" s="6">
        <v>0.0</v>
      </c>
      <c r="H32" s="6">
        <v>1.0</v>
      </c>
      <c r="I32" s="6">
        <v>0.0</v>
      </c>
      <c r="J32" s="6">
        <v>1.0</v>
      </c>
      <c r="K32" s="6">
        <v>1.0</v>
      </c>
      <c r="L32" s="6">
        <f t="shared" si="1"/>
        <v>3</v>
      </c>
      <c r="M32" s="6">
        <v>0.0</v>
      </c>
      <c r="N32" s="9"/>
      <c r="O32" s="10" t="str">
        <f t="shared" si="2"/>
        <v>active</v>
      </c>
    </row>
    <row r="33" ht="22.5" customHeight="1">
      <c r="A33" s="6">
        <v>72.0</v>
      </c>
      <c r="B33" s="7" t="s">
        <v>34</v>
      </c>
      <c r="C33" s="8" t="s">
        <v>65</v>
      </c>
      <c r="D33" s="7" t="s">
        <v>48</v>
      </c>
      <c r="E33" s="6">
        <v>18.0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1.0</v>
      </c>
      <c r="L33" s="6">
        <f t="shared" si="1"/>
        <v>0</v>
      </c>
      <c r="M33" s="6">
        <v>0.0</v>
      </c>
      <c r="N33" s="9"/>
      <c r="O33" s="10" t="str">
        <f t="shared" si="2"/>
        <v>active</v>
      </c>
    </row>
    <row r="34" ht="22.5" customHeight="1">
      <c r="A34" s="6">
        <v>73.0</v>
      </c>
      <c r="B34" s="7" t="s">
        <v>34</v>
      </c>
      <c r="C34" s="8" t="s">
        <v>52</v>
      </c>
      <c r="D34" s="7" t="s">
        <v>69</v>
      </c>
      <c r="E34" s="6">
        <v>23.0</v>
      </c>
      <c r="F34" s="6">
        <v>0.0</v>
      </c>
      <c r="G34" s="6">
        <v>0.0</v>
      </c>
      <c r="H34" s="6">
        <v>0.0</v>
      </c>
      <c r="I34" s="6">
        <v>0.0</v>
      </c>
      <c r="J34" s="6">
        <v>1.0</v>
      </c>
      <c r="K34" s="6">
        <v>1.0</v>
      </c>
      <c r="L34" s="6">
        <f t="shared" si="1"/>
        <v>1</v>
      </c>
      <c r="M34" s="6">
        <v>0.0</v>
      </c>
      <c r="N34" s="9"/>
      <c r="O34" s="10" t="str">
        <f t="shared" si="2"/>
        <v>active</v>
      </c>
    </row>
    <row r="35" ht="22.5" customHeight="1">
      <c r="A35" s="6">
        <v>84.0</v>
      </c>
      <c r="B35" s="7" t="s">
        <v>25</v>
      </c>
      <c r="C35" s="8" t="s">
        <v>43</v>
      </c>
      <c r="D35" s="7" t="s">
        <v>41</v>
      </c>
      <c r="E35" s="6">
        <v>9.0</v>
      </c>
      <c r="F35" s="6">
        <v>0.0</v>
      </c>
      <c r="G35" s="6">
        <v>2.0</v>
      </c>
      <c r="H35" s="6">
        <v>0.0</v>
      </c>
      <c r="I35" s="6">
        <v>0.0</v>
      </c>
      <c r="J35" s="6">
        <v>1.0</v>
      </c>
      <c r="K35" s="6">
        <v>0.0</v>
      </c>
      <c r="L35" s="6">
        <f t="shared" si="1"/>
        <v>3</v>
      </c>
      <c r="M35" s="6">
        <v>0.0</v>
      </c>
      <c r="N35" s="9"/>
      <c r="O35" s="10" t="str">
        <f t="shared" si="2"/>
        <v>general</v>
      </c>
    </row>
    <row r="36" ht="22.5" customHeight="1">
      <c r="A36" s="6">
        <v>85.0</v>
      </c>
      <c r="B36" s="7" t="s">
        <v>34</v>
      </c>
      <c r="C36" s="8" t="s">
        <v>49</v>
      </c>
      <c r="D36" s="7" t="s">
        <v>70</v>
      </c>
      <c r="E36" s="6">
        <v>18.0</v>
      </c>
      <c r="F36" s="6">
        <v>1.0</v>
      </c>
      <c r="G36" s="6">
        <v>2.0</v>
      </c>
      <c r="H36" s="6">
        <v>0.0</v>
      </c>
      <c r="I36" s="6">
        <v>0.0</v>
      </c>
      <c r="J36" s="6">
        <v>0.0</v>
      </c>
      <c r="K36" s="6">
        <v>0.0</v>
      </c>
      <c r="L36" s="6">
        <f t="shared" si="1"/>
        <v>3</v>
      </c>
      <c r="M36" s="6">
        <v>0.0</v>
      </c>
      <c r="N36" s="9"/>
      <c r="O36" s="10" t="str">
        <f t="shared" si="2"/>
        <v>general</v>
      </c>
    </row>
    <row r="37" ht="22.5" customHeight="1">
      <c r="A37" s="6">
        <v>86.0</v>
      </c>
      <c r="B37" s="7" t="s">
        <v>31</v>
      </c>
      <c r="C37" s="8" t="s">
        <v>35</v>
      </c>
      <c r="D37" s="7" t="s">
        <v>41</v>
      </c>
      <c r="E37" s="6">
        <v>18.0</v>
      </c>
      <c r="F37" s="6">
        <v>0.0</v>
      </c>
      <c r="G37" s="6">
        <v>1.0</v>
      </c>
      <c r="H37" s="6">
        <v>0.0</v>
      </c>
      <c r="I37" s="6">
        <v>0.0</v>
      </c>
      <c r="J37" s="6">
        <v>0.0</v>
      </c>
      <c r="K37" s="6">
        <v>0.0</v>
      </c>
      <c r="L37" s="6">
        <f t="shared" si="1"/>
        <v>1</v>
      </c>
      <c r="M37" s="6">
        <v>134.0</v>
      </c>
      <c r="N37" s="9"/>
      <c r="O37" s="10" t="str">
        <f t="shared" si="2"/>
        <v>postcard</v>
      </c>
    </row>
    <row r="38" ht="22.5" customHeight="1">
      <c r="A38" s="6">
        <v>87.0</v>
      </c>
      <c r="B38" s="7" t="s">
        <v>34</v>
      </c>
      <c r="C38" s="8" t="s">
        <v>49</v>
      </c>
      <c r="D38" s="7" t="s">
        <v>44</v>
      </c>
      <c r="E38" s="6">
        <v>23.0</v>
      </c>
      <c r="F38" s="6">
        <v>2.0</v>
      </c>
      <c r="G38" s="6">
        <v>0.0</v>
      </c>
      <c r="H38" s="6">
        <v>1.0</v>
      </c>
      <c r="I38" s="6">
        <v>0.0</v>
      </c>
      <c r="J38" s="6">
        <v>0.0</v>
      </c>
      <c r="K38" s="6">
        <v>0.0</v>
      </c>
      <c r="L38" s="6">
        <f t="shared" si="1"/>
        <v>3</v>
      </c>
      <c r="M38" s="6">
        <v>0.0</v>
      </c>
      <c r="N38" s="9"/>
      <c r="O38" s="10" t="str">
        <f t="shared" si="2"/>
        <v>general</v>
      </c>
    </row>
    <row r="39" ht="22.5" customHeight="1">
      <c r="A39" s="6">
        <v>88.0</v>
      </c>
      <c r="B39" s="7" t="s">
        <v>25</v>
      </c>
      <c r="C39" s="8" t="s">
        <v>71</v>
      </c>
      <c r="D39" s="7" t="s">
        <v>44</v>
      </c>
      <c r="E39" s="6">
        <v>13.0</v>
      </c>
      <c r="F39" s="6">
        <v>0.0</v>
      </c>
      <c r="G39" s="6">
        <v>0.0</v>
      </c>
      <c r="H39" s="6">
        <v>0.0</v>
      </c>
      <c r="I39" s="6">
        <v>2.0</v>
      </c>
      <c r="J39" s="6">
        <v>1.0</v>
      </c>
      <c r="K39" s="6">
        <v>0.0</v>
      </c>
      <c r="L39" s="6">
        <f t="shared" si="1"/>
        <v>3</v>
      </c>
      <c r="M39" s="6">
        <v>0.0</v>
      </c>
      <c r="N39" s="9"/>
      <c r="O39" s="10" t="str">
        <f t="shared" si="2"/>
        <v>general</v>
      </c>
    </row>
    <row r="40" ht="22.5" customHeight="1">
      <c r="A40" s="6">
        <v>99.0</v>
      </c>
      <c r="B40" s="7" t="s">
        <v>25</v>
      </c>
      <c r="C40" s="8" t="s">
        <v>61</v>
      </c>
      <c r="D40" s="7" t="s">
        <v>33</v>
      </c>
      <c r="E40" s="6">
        <v>14.0</v>
      </c>
      <c r="F40" s="6">
        <v>0.0</v>
      </c>
      <c r="G40" s="6">
        <v>0.0</v>
      </c>
      <c r="H40" s="6">
        <v>2.0</v>
      </c>
      <c r="I40" s="6">
        <v>0.0</v>
      </c>
      <c r="J40" s="6">
        <v>0.0</v>
      </c>
      <c r="K40" s="6">
        <v>0.0</v>
      </c>
      <c r="L40" s="6">
        <f t="shared" si="1"/>
        <v>2</v>
      </c>
      <c r="M40" s="6">
        <v>0.0</v>
      </c>
      <c r="N40" s="9"/>
      <c r="O40" s="10" t="str">
        <f t="shared" si="2"/>
        <v>general</v>
      </c>
    </row>
    <row r="41" ht="22.5" customHeight="1">
      <c r="A41" s="6">
        <v>100.0</v>
      </c>
      <c r="B41" s="7" t="s">
        <v>31</v>
      </c>
      <c r="C41" s="8" t="s">
        <v>47</v>
      </c>
      <c r="D41" s="7" t="s">
        <v>18</v>
      </c>
      <c r="E41" s="6">
        <v>14.0</v>
      </c>
      <c r="F41" s="6">
        <v>0.0</v>
      </c>
      <c r="G41" s="6">
        <v>0.0</v>
      </c>
      <c r="H41" s="6">
        <v>0.0</v>
      </c>
      <c r="I41" s="6">
        <v>0.0</v>
      </c>
      <c r="J41" s="6">
        <v>1.0</v>
      </c>
      <c r="K41" s="6">
        <v>0.0</v>
      </c>
      <c r="L41" s="6">
        <f t="shared" si="1"/>
        <v>1</v>
      </c>
      <c r="M41" s="6">
        <v>137.0</v>
      </c>
      <c r="N41" s="9"/>
      <c r="O41" s="10" t="str">
        <f t="shared" si="2"/>
        <v>postcard</v>
      </c>
    </row>
    <row r="42" ht="22.5" customHeight="1">
      <c r="A42" s="12">
        <v>105.0</v>
      </c>
      <c r="B42" s="13" t="s">
        <v>34</v>
      </c>
      <c r="C42" s="11" t="s">
        <v>49</v>
      </c>
      <c r="D42" s="13" t="s">
        <v>39</v>
      </c>
      <c r="E42" s="12">
        <v>23.0</v>
      </c>
      <c r="F42" s="12">
        <v>0.0</v>
      </c>
      <c r="G42" s="12">
        <v>2.0</v>
      </c>
      <c r="H42" s="12">
        <v>0.0</v>
      </c>
      <c r="I42" s="12">
        <v>0.0</v>
      </c>
      <c r="J42" s="12">
        <v>0.0</v>
      </c>
      <c r="K42" s="12">
        <v>0.0</v>
      </c>
      <c r="L42" s="6">
        <f>sum(F42:K42)</f>
        <v>2</v>
      </c>
      <c r="M42" s="12">
        <v>0.0</v>
      </c>
      <c r="N42" s="11" t="s">
        <v>72</v>
      </c>
      <c r="O42" s="10" t="str">
        <f t="shared" si="2"/>
        <v>general</v>
      </c>
    </row>
    <row r="43" ht="22.5" customHeight="1">
      <c r="A43" s="6">
        <v>105.0</v>
      </c>
      <c r="B43" s="7" t="s">
        <v>37</v>
      </c>
      <c r="C43" s="8" t="s">
        <v>73</v>
      </c>
      <c r="D43" s="7" t="s">
        <v>70</v>
      </c>
      <c r="E43" s="6">
        <v>6.0</v>
      </c>
      <c r="F43" s="6">
        <v>1.0</v>
      </c>
      <c r="G43" s="6">
        <v>2.0</v>
      </c>
      <c r="H43" s="6">
        <v>1.0</v>
      </c>
      <c r="I43" s="6">
        <v>1.0</v>
      </c>
      <c r="J43" s="6">
        <v>1.0</v>
      </c>
      <c r="K43" s="6">
        <v>0.0</v>
      </c>
      <c r="L43" s="6">
        <f t="shared" ref="L43:L130" si="3">sum(F43:J43)</f>
        <v>6</v>
      </c>
      <c r="M43" s="6">
        <v>0.0</v>
      </c>
      <c r="N43" s="9"/>
      <c r="O43" s="10" t="str">
        <f t="shared" si="2"/>
        <v>general</v>
      </c>
    </row>
    <row r="44" ht="22.5" customHeight="1">
      <c r="A44" s="6">
        <v>106.0</v>
      </c>
      <c r="B44" s="7" t="s">
        <v>25</v>
      </c>
      <c r="C44" s="8" t="s">
        <v>71</v>
      </c>
      <c r="D44" s="7" t="s">
        <v>74</v>
      </c>
      <c r="E44" s="6">
        <v>11.0</v>
      </c>
      <c r="F44" s="6">
        <v>0.0</v>
      </c>
      <c r="G44" s="6">
        <v>2.0</v>
      </c>
      <c r="H44" s="6">
        <v>0.0</v>
      </c>
      <c r="I44" s="6">
        <v>0.0</v>
      </c>
      <c r="J44" s="6">
        <v>0.0</v>
      </c>
      <c r="K44" s="6">
        <v>0.0</v>
      </c>
      <c r="L44" s="6">
        <f t="shared" si="3"/>
        <v>2</v>
      </c>
      <c r="M44" s="6">
        <v>0.0</v>
      </c>
      <c r="N44" s="9"/>
      <c r="O44" s="10" t="str">
        <f t="shared" si="2"/>
        <v>general</v>
      </c>
    </row>
    <row r="45" ht="22.5" customHeight="1">
      <c r="A45" s="6">
        <v>107.0</v>
      </c>
      <c r="B45" s="7" t="s">
        <v>31</v>
      </c>
      <c r="C45" s="8" t="s">
        <v>55</v>
      </c>
      <c r="D45" s="7" t="s">
        <v>75</v>
      </c>
      <c r="E45" s="6">
        <v>20.0</v>
      </c>
      <c r="F45" s="6">
        <v>0.0</v>
      </c>
      <c r="G45" s="6">
        <v>0.0</v>
      </c>
      <c r="H45" s="6">
        <v>0.0</v>
      </c>
      <c r="I45" s="6">
        <v>1.0</v>
      </c>
      <c r="J45" s="6">
        <v>0.0</v>
      </c>
      <c r="K45" s="6">
        <v>0.0</v>
      </c>
      <c r="L45" s="6">
        <f t="shared" si="3"/>
        <v>1</v>
      </c>
      <c r="M45" s="6">
        <v>135.0</v>
      </c>
      <c r="N45" s="9"/>
      <c r="O45" s="10" t="str">
        <f t="shared" si="2"/>
        <v>postcard</v>
      </c>
    </row>
    <row r="46" ht="22.5" customHeight="1">
      <c r="A46" s="6">
        <v>108.0</v>
      </c>
      <c r="B46" s="7" t="s">
        <v>31</v>
      </c>
      <c r="C46" s="8" t="s">
        <v>50</v>
      </c>
      <c r="D46" s="7" t="s">
        <v>47</v>
      </c>
      <c r="E46" s="6">
        <v>5.0</v>
      </c>
      <c r="F46" s="6">
        <v>0.0</v>
      </c>
      <c r="G46" s="6">
        <v>0.0</v>
      </c>
      <c r="H46" s="6">
        <v>0.0</v>
      </c>
      <c r="I46" s="6">
        <v>1.0</v>
      </c>
      <c r="J46" s="6">
        <v>0.0</v>
      </c>
      <c r="K46" s="6">
        <v>0.0</v>
      </c>
      <c r="L46" s="6">
        <f t="shared" si="3"/>
        <v>1</v>
      </c>
      <c r="M46" s="6">
        <v>136.0</v>
      </c>
      <c r="N46" s="9"/>
      <c r="O46" s="10" t="str">
        <f t="shared" si="2"/>
        <v>postcard</v>
      </c>
    </row>
    <row r="47" ht="22.5" customHeight="1">
      <c r="A47" s="6">
        <v>109.0</v>
      </c>
      <c r="B47" s="7" t="s">
        <v>31</v>
      </c>
      <c r="C47" s="8" t="s">
        <v>50</v>
      </c>
      <c r="D47" s="7" t="s">
        <v>74</v>
      </c>
      <c r="E47" s="6">
        <v>21.0</v>
      </c>
      <c r="F47" s="6">
        <v>1.0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f t="shared" si="3"/>
        <v>1</v>
      </c>
      <c r="M47" s="6">
        <v>133.0</v>
      </c>
      <c r="N47" s="9"/>
      <c r="O47" s="10" t="str">
        <f t="shared" si="2"/>
        <v>postcard</v>
      </c>
    </row>
    <row r="48" ht="22.5" customHeight="1">
      <c r="A48" s="6">
        <v>110.0</v>
      </c>
      <c r="B48" s="7" t="s">
        <v>25</v>
      </c>
      <c r="C48" s="8" t="s">
        <v>76</v>
      </c>
      <c r="D48" s="7" t="s">
        <v>46</v>
      </c>
      <c r="E48" s="6">
        <v>17.0</v>
      </c>
      <c r="F48" s="6">
        <v>2.0</v>
      </c>
      <c r="G48" s="6">
        <v>0.0</v>
      </c>
      <c r="H48" s="6">
        <v>1.0</v>
      </c>
      <c r="I48" s="6">
        <v>1.0</v>
      </c>
      <c r="J48" s="6">
        <v>0.0</v>
      </c>
      <c r="K48" s="6">
        <v>0.0</v>
      </c>
      <c r="L48" s="6">
        <f t="shared" si="3"/>
        <v>4</v>
      </c>
      <c r="M48" s="6">
        <v>0.0</v>
      </c>
      <c r="N48" s="9"/>
      <c r="O48" s="10" t="str">
        <f t="shared" si="2"/>
        <v>general</v>
      </c>
    </row>
    <row r="49" ht="22.5" customHeight="1">
      <c r="A49" s="6">
        <v>121.0</v>
      </c>
      <c r="B49" s="7" t="s">
        <v>25</v>
      </c>
      <c r="C49" s="8" t="s">
        <v>61</v>
      </c>
      <c r="D49" s="7" t="s">
        <v>70</v>
      </c>
      <c r="E49" s="6">
        <v>10.0</v>
      </c>
      <c r="F49" s="6">
        <v>0.0</v>
      </c>
      <c r="G49" s="6">
        <v>0.0</v>
      </c>
      <c r="H49" s="6">
        <v>0.0</v>
      </c>
      <c r="I49" s="6">
        <v>0.0</v>
      </c>
      <c r="J49" s="6">
        <v>1.0</v>
      </c>
      <c r="K49" s="6">
        <v>0.0</v>
      </c>
      <c r="L49" s="6">
        <f t="shared" si="3"/>
        <v>1</v>
      </c>
      <c r="M49" s="6">
        <v>128.0</v>
      </c>
      <c r="N49" s="9"/>
      <c r="O49" s="10" t="str">
        <f t="shared" si="2"/>
        <v>postcard</v>
      </c>
    </row>
    <row r="50" ht="22.5" customHeight="1">
      <c r="A50" s="6">
        <v>122.0</v>
      </c>
      <c r="B50" s="7" t="s">
        <v>34</v>
      </c>
      <c r="C50" s="8" t="s">
        <v>52</v>
      </c>
      <c r="D50" s="7" t="s">
        <v>56</v>
      </c>
      <c r="E50" s="6">
        <v>16.0</v>
      </c>
      <c r="F50" s="6">
        <v>0.0</v>
      </c>
      <c r="G50" s="6">
        <v>0.0</v>
      </c>
      <c r="H50" s="6">
        <v>0.0</v>
      </c>
      <c r="I50" s="6">
        <v>0.0</v>
      </c>
      <c r="J50" s="6">
        <v>1.0</v>
      </c>
      <c r="K50" s="6">
        <v>0.0</v>
      </c>
      <c r="L50" s="6">
        <f t="shared" si="3"/>
        <v>1</v>
      </c>
      <c r="M50" s="6">
        <v>138.0</v>
      </c>
      <c r="N50" s="9"/>
      <c r="O50" s="10" t="str">
        <f t="shared" si="2"/>
        <v>postcard</v>
      </c>
    </row>
    <row r="51" ht="22.5" customHeight="1">
      <c r="A51" s="6">
        <v>123.0</v>
      </c>
      <c r="B51" s="7" t="s">
        <v>34</v>
      </c>
      <c r="C51" s="8" t="s">
        <v>49</v>
      </c>
      <c r="D51" s="7" t="s">
        <v>18</v>
      </c>
      <c r="E51" s="6">
        <v>19.0</v>
      </c>
      <c r="F51" s="6">
        <v>0.0</v>
      </c>
      <c r="G51" s="6">
        <v>1.0</v>
      </c>
      <c r="H51" s="6">
        <v>0.0</v>
      </c>
      <c r="I51" s="6">
        <v>0.0</v>
      </c>
      <c r="J51" s="6">
        <v>0.0</v>
      </c>
      <c r="K51" s="6">
        <v>0.0</v>
      </c>
      <c r="L51" s="6">
        <f t="shared" si="3"/>
        <v>1</v>
      </c>
      <c r="M51" s="6">
        <v>139.0</v>
      </c>
      <c r="N51" s="9"/>
      <c r="O51" s="10" t="str">
        <f t="shared" si="2"/>
        <v>postcard</v>
      </c>
      <c r="Q51" s="5">
        <v>1.0</v>
      </c>
    </row>
    <row r="52" ht="22.5" customHeight="1">
      <c r="A52" s="6">
        <v>124.0</v>
      </c>
      <c r="B52" s="7" t="s">
        <v>16</v>
      </c>
      <c r="C52" s="8" t="s">
        <v>77</v>
      </c>
      <c r="D52" s="7" t="s">
        <v>27</v>
      </c>
      <c r="E52" s="6">
        <v>23.0</v>
      </c>
      <c r="F52" s="6">
        <v>0.0</v>
      </c>
      <c r="G52" s="6">
        <v>0.0</v>
      </c>
      <c r="H52" s="6">
        <v>2.0</v>
      </c>
      <c r="I52" s="6">
        <v>1.0</v>
      </c>
      <c r="J52" s="6">
        <v>1.0</v>
      </c>
      <c r="K52" s="6">
        <v>0.0</v>
      </c>
      <c r="L52" s="6">
        <f t="shared" si="3"/>
        <v>4</v>
      </c>
      <c r="M52" s="6">
        <v>0.0</v>
      </c>
      <c r="N52" s="9"/>
      <c r="O52" s="10" t="str">
        <f t="shared" si="2"/>
        <v>general</v>
      </c>
      <c r="Q52" s="5">
        <v>2.0</v>
      </c>
    </row>
    <row r="53" ht="22.5" customHeight="1">
      <c r="A53" s="6">
        <v>125.0</v>
      </c>
      <c r="B53" s="7" t="s">
        <v>34</v>
      </c>
      <c r="C53" s="8" t="s">
        <v>67</v>
      </c>
      <c r="D53" s="7" t="s">
        <v>74</v>
      </c>
      <c r="E53" s="6">
        <v>19.0</v>
      </c>
      <c r="F53" s="6">
        <v>0.0</v>
      </c>
      <c r="G53" s="6">
        <v>0.0</v>
      </c>
      <c r="H53" s="6">
        <v>1.0</v>
      </c>
      <c r="I53" s="6">
        <v>0.0</v>
      </c>
      <c r="J53" s="6">
        <v>0.0</v>
      </c>
      <c r="K53" s="6">
        <v>0.0</v>
      </c>
      <c r="L53" s="6">
        <f t="shared" si="3"/>
        <v>1</v>
      </c>
      <c r="M53" s="6">
        <v>140.0</v>
      </c>
      <c r="N53" s="9"/>
      <c r="O53" s="10" t="str">
        <f t="shared" si="2"/>
        <v>postcard</v>
      </c>
      <c r="Q53" s="5">
        <v>3.0</v>
      </c>
    </row>
    <row r="54" ht="22.5" customHeight="1">
      <c r="A54" s="6">
        <v>126.0</v>
      </c>
      <c r="B54" s="7" t="s">
        <v>31</v>
      </c>
      <c r="C54" s="8" t="s">
        <v>52</v>
      </c>
      <c r="D54" s="7" t="s">
        <v>54</v>
      </c>
      <c r="E54" s="6">
        <v>21.0</v>
      </c>
      <c r="F54" s="6">
        <v>0.0</v>
      </c>
      <c r="G54" s="6">
        <v>0.0</v>
      </c>
      <c r="H54" s="6">
        <v>0.0</v>
      </c>
      <c r="I54" s="6">
        <v>1.0</v>
      </c>
      <c r="J54" s="6">
        <v>0.0</v>
      </c>
      <c r="K54" s="6">
        <v>0.0</v>
      </c>
      <c r="L54" s="6">
        <f t="shared" si="3"/>
        <v>1</v>
      </c>
      <c r="M54" s="6">
        <v>142.0</v>
      </c>
      <c r="N54" s="9"/>
      <c r="O54" s="10" t="str">
        <f t="shared" si="2"/>
        <v>postcard</v>
      </c>
      <c r="Q54" s="5">
        <v>4.0</v>
      </c>
    </row>
    <row r="55" ht="22.5" customHeight="1">
      <c r="A55" s="6">
        <v>127.0</v>
      </c>
      <c r="B55" s="7" t="s">
        <v>34</v>
      </c>
      <c r="C55" s="8" t="s">
        <v>65</v>
      </c>
      <c r="D55" s="7" t="s">
        <v>64</v>
      </c>
      <c r="E55" s="6">
        <v>21.0</v>
      </c>
      <c r="F55" s="6">
        <v>0.0</v>
      </c>
      <c r="G55" s="6">
        <v>0.0</v>
      </c>
      <c r="H55" s="6">
        <v>0.0</v>
      </c>
      <c r="I55" s="6">
        <v>1.0</v>
      </c>
      <c r="J55" s="6">
        <v>0.0</v>
      </c>
      <c r="K55" s="6">
        <v>0.0</v>
      </c>
      <c r="L55" s="6">
        <f t="shared" si="3"/>
        <v>1</v>
      </c>
      <c r="M55" s="6">
        <v>141.0</v>
      </c>
      <c r="N55" s="9"/>
      <c r="O55" s="10" t="str">
        <f t="shared" si="2"/>
        <v>postcard</v>
      </c>
      <c r="Q55" s="5">
        <v>5.0</v>
      </c>
    </row>
    <row r="56" ht="22.5" customHeight="1">
      <c r="A56" s="6">
        <v>128.0</v>
      </c>
      <c r="B56" s="7" t="s">
        <v>37</v>
      </c>
      <c r="C56" s="8" t="s">
        <v>78</v>
      </c>
      <c r="D56" s="7" t="s">
        <v>73</v>
      </c>
      <c r="E56" s="6">
        <v>5.0</v>
      </c>
      <c r="F56" s="6">
        <v>2.0</v>
      </c>
      <c r="G56" s="6">
        <v>1.0</v>
      </c>
      <c r="H56" s="6">
        <v>1.0</v>
      </c>
      <c r="I56" s="6">
        <v>1.0</v>
      </c>
      <c r="J56" s="6">
        <v>0.0</v>
      </c>
      <c r="K56" s="6">
        <v>0.0</v>
      </c>
      <c r="L56" s="6">
        <f t="shared" si="3"/>
        <v>5</v>
      </c>
      <c r="M56" s="6">
        <v>0.0</v>
      </c>
      <c r="N56" s="9"/>
      <c r="O56" s="10" t="str">
        <f t="shared" si="2"/>
        <v>general</v>
      </c>
      <c r="Q56" s="5">
        <v>6.0</v>
      </c>
    </row>
    <row r="57" ht="22.5" customHeight="1">
      <c r="A57" s="6">
        <v>129.0</v>
      </c>
      <c r="B57" s="7" t="s">
        <v>37</v>
      </c>
      <c r="C57" s="8" t="s">
        <v>79</v>
      </c>
      <c r="D57" s="7" t="s">
        <v>58</v>
      </c>
      <c r="E57" s="6">
        <v>6.0</v>
      </c>
      <c r="F57" s="6">
        <v>2.0</v>
      </c>
      <c r="G57" s="6">
        <v>1.0</v>
      </c>
      <c r="H57" s="6">
        <v>0.0</v>
      </c>
      <c r="I57" s="6">
        <v>0.0</v>
      </c>
      <c r="J57" s="6">
        <v>0.0</v>
      </c>
      <c r="K57" s="6">
        <v>0.0</v>
      </c>
      <c r="L57" s="6">
        <f t="shared" si="3"/>
        <v>3</v>
      </c>
      <c r="M57" s="6">
        <v>0.0</v>
      </c>
      <c r="N57" s="9"/>
      <c r="O57" s="10" t="str">
        <f t="shared" si="2"/>
        <v>general</v>
      </c>
      <c r="Q57" s="5">
        <v>7.0</v>
      </c>
    </row>
    <row r="58" ht="22.5" customHeight="1">
      <c r="A58" s="6">
        <v>130.0</v>
      </c>
      <c r="B58" s="7" t="s">
        <v>16</v>
      </c>
      <c r="C58" s="8" t="s">
        <v>77</v>
      </c>
      <c r="D58" s="7" t="s">
        <v>17</v>
      </c>
      <c r="E58" s="6">
        <v>5.0</v>
      </c>
      <c r="F58" s="6">
        <v>0.0</v>
      </c>
      <c r="G58" s="6">
        <v>1.0</v>
      </c>
      <c r="H58" s="6">
        <v>0.0</v>
      </c>
      <c r="I58" s="6">
        <v>2.0</v>
      </c>
      <c r="J58" s="6">
        <v>0.0</v>
      </c>
      <c r="K58" s="6">
        <v>0.0</v>
      </c>
      <c r="L58" s="6">
        <f t="shared" si="3"/>
        <v>3</v>
      </c>
      <c r="M58" s="6">
        <v>0.0</v>
      </c>
      <c r="N58" s="9"/>
      <c r="O58" s="10" t="str">
        <f t="shared" si="2"/>
        <v>general</v>
      </c>
      <c r="Q58" s="5">
        <v>8.0</v>
      </c>
    </row>
    <row r="59" ht="22.5" customHeight="1">
      <c r="A59" s="6">
        <v>140.0</v>
      </c>
      <c r="B59" s="7" t="s">
        <v>16</v>
      </c>
      <c r="C59" s="8" t="s">
        <v>80</v>
      </c>
      <c r="D59" s="7" t="s">
        <v>69</v>
      </c>
      <c r="E59" s="6">
        <v>19.0</v>
      </c>
      <c r="F59" s="6">
        <v>0.0</v>
      </c>
      <c r="G59" s="6">
        <v>0.0</v>
      </c>
      <c r="H59" s="6">
        <v>0.0</v>
      </c>
      <c r="I59" s="6">
        <v>1.0</v>
      </c>
      <c r="J59" s="6">
        <v>2.0</v>
      </c>
      <c r="K59" s="6">
        <v>0.0</v>
      </c>
      <c r="L59" s="6">
        <f t="shared" si="3"/>
        <v>3</v>
      </c>
      <c r="M59" s="6">
        <v>0.0</v>
      </c>
      <c r="N59" s="9"/>
      <c r="O59" s="10" t="str">
        <f t="shared" si="2"/>
        <v>general</v>
      </c>
      <c r="Q59" s="5">
        <v>9.0</v>
      </c>
    </row>
    <row r="60" ht="22.5" customHeight="1">
      <c r="A60" s="6">
        <v>141.0</v>
      </c>
      <c r="B60" s="7" t="s">
        <v>16</v>
      </c>
      <c r="C60" s="8" t="s">
        <v>80</v>
      </c>
      <c r="D60" s="7" t="s">
        <v>60</v>
      </c>
      <c r="E60" s="6">
        <v>14.0</v>
      </c>
      <c r="F60" s="6">
        <v>0.0</v>
      </c>
      <c r="G60" s="6">
        <v>1.0</v>
      </c>
      <c r="H60" s="6">
        <v>0.0</v>
      </c>
      <c r="I60" s="6">
        <v>0.0</v>
      </c>
      <c r="J60" s="6">
        <v>2.0</v>
      </c>
      <c r="K60" s="6">
        <v>0.0</v>
      </c>
      <c r="L60" s="6">
        <f t="shared" si="3"/>
        <v>3</v>
      </c>
      <c r="M60" s="6">
        <v>0.0</v>
      </c>
      <c r="N60" s="9"/>
      <c r="O60" s="10" t="str">
        <f t="shared" si="2"/>
        <v>general</v>
      </c>
      <c r="Q60" s="5">
        <v>10.0</v>
      </c>
    </row>
    <row r="61" ht="22.5" customHeight="1">
      <c r="A61" s="6">
        <v>142.0</v>
      </c>
      <c r="B61" s="7" t="s">
        <v>28</v>
      </c>
      <c r="C61" s="8" t="s">
        <v>53</v>
      </c>
      <c r="D61" s="7" t="s">
        <v>66</v>
      </c>
      <c r="E61" s="6">
        <v>15.0</v>
      </c>
      <c r="F61" s="6">
        <v>0.0</v>
      </c>
      <c r="G61" s="6">
        <v>0.0</v>
      </c>
      <c r="H61" s="6">
        <v>1.0</v>
      </c>
      <c r="I61" s="6">
        <v>0.0</v>
      </c>
      <c r="J61" s="6">
        <v>0.0</v>
      </c>
      <c r="K61" s="6">
        <v>0.0</v>
      </c>
      <c r="L61" s="6">
        <f t="shared" si="3"/>
        <v>1</v>
      </c>
      <c r="M61" s="6">
        <v>126.0</v>
      </c>
      <c r="N61" s="9"/>
      <c r="O61" s="10" t="str">
        <f t="shared" si="2"/>
        <v>postcard</v>
      </c>
      <c r="Q61" s="5">
        <v>11.0</v>
      </c>
    </row>
    <row r="62" ht="22.5" customHeight="1">
      <c r="A62" s="6">
        <v>143.0</v>
      </c>
      <c r="B62" s="7" t="s">
        <v>28</v>
      </c>
      <c r="C62" s="8" t="s">
        <v>57</v>
      </c>
      <c r="D62" s="7" t="s">
        <v>56</v>
      </c>
      <c r="E62" s="6">
        <v>5.0</v>
      </c>
      <c r="F62" s="6">
        <v>0.0</v>
      </c>
      <c r="G62" s="6">
        <v>0.0</v>
      </c>
      <c r="H62" s="6">
        <v>0.0</v>
      </c>
      <c r="I62" s="6">
        <v>1.0</v>
      </c>
      <c r="J62" s="6">
        <v>0.0</v>
      </c>
      <c r="K62" s="6">
        <v>0.0</v>
      </c>
      <c r="L62" s="6">
        <f t="shared" si="3"/>
        <v>1</v>
      </c>
      <c r="M62" s="6">
        <v>124.0</v>
      </c>
      <c r="N62" s="9"/>
      <c r="O62" s="10" t="str">
        <f t="shared" si="2"/>
        <v>postcard</v>
      </c>
      <c r="Q62" s="5">
        <v>12.0</v>
      </c>
    </row>
    <row r="63" ht="22.5" customHeight="1">
      <c r="A63" s="6">
        <v>144.0</v>
      </c>
      <c r="B63" s="7" t="s">
        <v>40</v>
      </c>
      <c r="C63" s="8" t="s">
        <v>36</v>
      </c>
      <c r="D63" s="7" t="s">
        <v>54</v>
      </c>
      <c r="E63" s="6">
        <v>4.0</v>
      </c>
      <c r="F63" s="6">
        <v>1.0</v>
      </c>
      <c r="G63" s="6">
        <v>1.0</v>
      </c>
      <c r="H63" s="6">
        <v>1.0</v>
      </c>
      <c r="I63" s="6">
        <v>2.0</v>
      </c>
      <c r="J63" s="6">
        <v>1.0</v>
      </c>
      <c r="K63" s="6">
        <v>0.0</v>
      </c>
      <c r="L63" s="6">
        <f t="shared" si="3"/>
        <v>6</v>
      </c>
      <c r="M63" s="6">
        <v>0.0</v>
      </c>
      <c r="N63" s="9"/>
      <c r="O63" s="10" t="str">
        <f t="shared" si="2"/>
        <v>general</v>
      </c>
      <c r="Q63" s="5">
        <v>13.0</v>
      </c>
    </row>
    <row r="64" ht="22.5" customHeight="1">
      <c r="A64" s="6">
        <v>145.0</v>
      </c>
      <c r="B64" s="7" t="s">
        <v>28</v>
      </c>
      <c r="C64" s="8" t="s">
        <v>29</v>
      </c>
      <c r="D64" s="7" t="s">
        <v>36</v>
      </c>
      <c r="E64" s="6">
        <v>11.0</v>
      </c>
      <c r="F64" s="6">
        <v>1.0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f t="shared" si="3"/>
        <v>1</v>
      </c>
      <c r="M64" s="6">
        <v>125.0</v>
      </c>
      <c r="N64" s="9"/>
      <c r="O64" s="10" t="str">
        <f t="shared" si="2"/>
        <v>postcard</v>
      </c>
      <c r="Q64" s="5">
        <v>14.0</v>
      </c>
    </row>
    <row r="65" ht="22.5" customHeight="1">
      <c r="A65" s="6">
        <v>146.0</v>
      </c>
      <c r="B65" s="7" t="s">
        <v>19</v>
      </c>
      <c r="C65" s="8" t="s">
        <v>21</v>
      </c>
      <c r="D65" s="7" t="s">
        <v>60</v>
      </c>
      <c r="E65" s="6">
        <v>8.0</v>
      </c>
      <c r="F65" s="6">
        <v>1.0</v>
      </c>
      <c r="G65" s="6">
        <v>2.0</v>
      </c>
      <c r="H65" s="6">
        <v>0.0</v>
      </c>
      <c r="I65" s="6">
        <v>0.0</v>
      </c>
      <c r="J65" s="6">
        <v>1.0</v>
      </c>
      <c r="K65" s="6">
        <v>0.0</v>
      </c>
      <c r="L65" s="6">
        <f t="shared" si="3"/>
        <v>4</v>
      </c>
      <c r="M65" s="6">
        <v>0.0</v>
      </c>
      <c r="N65" s="9"/>
      <c r="O65" s="10" t="str">
        <f t="shared" si="2"/>
        <v>general</v>
      </c>
      <c r="Q65" s="5">
        <v>15.0</v>
      </c>
    </row>
    <row r="66" ht="22.5" customHeight="1">
      <c r="A66" s="6">
        <v>147.0</v>
      </c>
      <c r="B66" s="7" t="s">
        <v>16</v>
      </c>
      <c r="C66" s="8" t="s">
        <v>81</v>
      </c>
      <c r="D66" s="7" t="s">
        <v>56</v>
      </c>
      <c r="E66" s="6">
        <v>14.0</v>
      </c>
      <c r="F66" s="6">
        <v>0.0</v>
      </c>
      <c r="G66" s="6">
        <v>2.0</v>
      </c>
      <c r="H66" s="6">
        <v>1.0</v>
      </c>
      <c r="I66" s="6">
        <v>0.0</v>
      </c>
      <c r="J66" s="6">
        <v>0.0</v>
      </c>
      <c r="K66" s="6">
        <v>0.0</v>
      </c>
      <c r="L66" s="6">
        <f t="shared" si="3"/>
        <v>3</v>
      </c>
      <c r="M66" s="6">
        <v>0.0</v>
      </c>
      <c r="N66" s="9"/>
      <c r="O66" s="10" t="str">
        <f t="shared" si="2"/>
        <v>general</v>
      </c>
      <c r="Q66" s="5">
        <v>16.0</v>
      </c>
    </row>
    <row r="67" ht="22.5" customHeight="1">
      <c r="A67" s="6">
        <v>148.0</v>
      </c>
      <c r="B67" s="7" t="s">
        <v>19</v>
      </c>
      <c r="C67" s="8" t="s">
        <v>82</v>
      </c>
      <c r="D67" s="7" t="s">
        <v>51</v>
      </c>
      <c r="E67" s="6">
        <v>11.0</v>
      </c>
      <c r="F67" s="6">
        <v>0.0</v>
      </c>
      <c r="G67" s="6">
        <v>2.0</v>
      </c>
      <c r="H67" s="6">
        <v>0.0</v>
      </c>
      <c r="I67" s="6">
        <v>0.0</v>
      </c>
      <c r="J67" s="6">
        <v>1.0</v>
      </c>
      <c r="K67" s="6">
        <v>0.0</v>
      </c>
      <c r="L67" s="6">
        <f t="shared" si="3"/>
        <v>3</v>
      </c>
      <c r="M67" s="6">
        <v>0.0</v>
      </c>
      <c r="N67" s="9"/>
      <c r="O67" s="10" t="str">
        <f t="shared" si="2"/>
        <v>general</v>
      </c>
      <c r="Q67" s="5">
        <v>17.0</v>
      </c>
    </row>
    <row r="68" ht="22.5" customHeight="1">
      <c r="A68" s="6">
        <v>149.0</v>
      </c>
      <c r="B68" s="7" t="s">
        <v>19</v>
      </c>
      <c r="C68" s="8" t="s">
        <v>21</v>
      </c>
      <c r="D68" s="7" t="s">
        <v>56</v>
      </c>
      <c r="E68" s="6">
        <v>9.0</v>
      </c>
      <c r="F68" s="6">
        <v>1.0</v>
      </c>
      <c r="G68" s="6">
        <v>2.0</v>
      </c>
      <c r="H68" s="6">
        <v>0.0</v>
      </c>
      <c r="I68" s="6">
        <v>0.0</v>
      </c>
      <c r="J68" s="6">
        <v>1.0</v>
      </c>
      <c r="K68" s="6">
        <v>0.0</v>
      </c>
      <c r="L68" s="6">
        <f t="shared" si="3"/>
        <v>4</v>
      </c>
      <c r="M68" s="6">
        <v>0.0</v>
      </c>
      <c r="N68" s="9"/>
      <c r="O68" s="10" t="str">
        <f t="shared" si="2"/>
        <v>general</v>
      </c>
      <c r="Q68" s="5">
        <v>18.0</v>
      </c>
    </row>
    <row r="69" ht="22.5" customHeight="1">
      <c r="A69" s="6">
        <v>150.0</v>
      </c>
      <c r="B69" s="7" t="s">
        <v>37</v>
      </c>
      <c r="C69" s="8" t="s">
        <v>83</v>
      </c>
      <c r="D69" s="7" t="s">
        <v>74</v>
      </c>
      <c r="E69" s="6">
        <v>7.0</v>
      </c>
      <c r="F69" s="6">
        <v>0.0</v>
      </c>
      <c r="G69" s="6">
        <v>2.0</v>
      </c>
      <c r="H69" s="6">
        <v>1.0</v>
      </c>
      <c r="I69" s="6">
        <v>1.0</v>
      </c>
      <c r="J69" s="6">
        <v>1.0</v>
      </c>
      <c r="K69" s="6">
        <v>0.0</v>
      </c>
      <c r="L69" s="6">
        <f t="shared" si="3"/>
        <v>5</v>
      </c>
      <c r="M69" s="6">
        <v>0.0</v>
      </c>
      <c r="N69" s="9"/>
      <c r="O69" s="10" t="str">
        <f t="shared" si="2"/>
        <v>general</v>
      </c>
      <c r="Q69" s="5">
        <v>19.0</v>
      </c>
    </row>
    <row r="70" ht="22.5" customHeight="1">
      <c r="A70" s="6">
        <v>151.0</v>
      </c>
      <c r="B70" s="7" t="s">
        <v>19</v>
      </c>
      <c r="C70" s="8" t="s">
        <v>84</v>
      </c>
      <c r="D70" s="7" t="s">
        <v>66</v>
      </c>
      <c r="E70" s="6">
        <v>5.0</v>
      </c>
      <c r="F70" s="6">
        <v>0.0</v>
      </c>
      <c r="G70" s="6">
        <v>2.0</v>
      </c>
      <c r="H70" s="6">
        <v>0.0</v>
      </c>
      <c r="I70" s="6">
        <v>1.0</v>
      </c>
      <c r="J70" s="6">
        <v>0.0</v>
      </c>
      <c r="K70" s="6">
        <v>0.0</v>
      </c>
      <c r="L70" s="6">
        <f t="shared" si="3"/>
        <v>3</v>
      </c>
      <c r="M70" s="6">
        <v>0.0</v>
      </c>
      <c r="N70" s="9"/>
      <c r="O70" s="10" t="str">
        <f t="shared" si="2"/>
        <v>general</v>
      </c>
      <c r="Q70" s="5">
        <v>20.0</v>
      </c>
    </row>
    <row r="71" ht="22.5" customHeight="1">
      <c r="A71" s="6">
        <v>161.0</v>
      </c>
      <c r="B71" s="7" t="s">
        <v>25</v>
      </c>
      <c r="C71" s="8" t="s">
        <v>76</v>
      </c>
      <c r="D71" s="7" t="s">
        <v>43</v>
      </c>
      <c r="E71" s="6">
        <v>7.0</v>
      </c>
      <c r="F71" s="6">
        <v>0.0</v>
      </c>
      <c r="G71" s="6">
        <v>1.0</v>
      </c>
      <c r="H71" s="6">
        <v>0.0</v>
      </c>
      <c r="I71" s="6">
        <v>0.0</v>
      </c>
      <c r="J71" s="6">
        <v>0.0</v>
      </c>
      <c r="K71" s="6">
        <v>0.0</v>
      </c>
      <c r="L71" s="6">
        <f t="shared" si="3"/>
        <v>1</v>
      </c>
      <c r="M71" s="6">
        <v>127.0</v>
      </c>
      <c r="N71" s="9"/>
      <c r="O71" s="10" t="str">
        <f t="shared" si="2"/>
        <v>postcard</v>
      </c>
      <c r="Q71" s="5">
        <v>21.0</v>
      </c>
    </row>
    <row r="72" ht="22.5" customHeight="1">
      <c r="A72" s="6">
        <v>163.0</v>
      </c>
      <c r="B72" s="7" t="s">
        <v>19</v>
      </c>
      <c r="C72" s="8" t="s">
        <v>79</v>
      </c>
      <c r="D72" s="7" t="s">
        <v>54</v>
      </c>
      <c r="E72" s="6">
        <v>10.0</v>
      </c>
      <c r="F72" s="6">
        <v>0.0</v>
      </c>
      <c r="G72" s="6">
        <v>0.0</v>
      </c>
      <c r="H72" s="6">
        <v>2.0</v>
      </c>
      <c r="I72" s="6">
        <v>0.0</v>
      </c>
      <c r="J72" s="6">
        <v>0.0</v>
      </c>
      <c r="K72" s="6">
        <v>0.0</v>
      </c>
      <c r="L72" s="6">
        <f t="shared" si="3"/>
        <v>2</v>
      </c>
      <c r="M72" s="6">
        <v>0.0</v>
      </c>
      <c r="N72" s="9"/>
      <c r="O72" s="10" t="str">
        <f t="shared" si="2"/>
        <v>general</v>
      </c>
      <c r="Q72" s="5">
        <v>22.0</v>
      </c>
    </row>
    <row r="73" ht="22.5" customHeight="1">
      <c r="A73" s="6">
        <v>164.0</v>
      </c>
      <c r="B73" s="7" t="s">
        <v>37</v>
      </c>
      <c r="C73" s="8" t="s">
        <v>85</v>
      </c>
      <c r="D73" s="7" t="s">
        <v>54</v>
      </c>
      <c r="E73" s="6">
        <v>6.0</v>
      </c>
      <c r="F73" s="6">
        <v>2.0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f t="shared" si="3"/>
        <v>2</v>
      </c>
      <c r="M73" s="6">
        <v>0.0</v>
      </c>
      <c r="N73" s="9"/>
      <c r="O73" s="10" t="str">
        <f t="shared" si="2"/>
        <v>general</v>
      </c>
      <c r="Q73" s="5">
        <v>23.0</v>
      </c>
    </row>
    <row r="74" ht="22.5" customHeight="1">
      <c r="A74" s="6">
        <v>165.0</v>
      </c>
      <c r="B74" s="7" t="s">
        <v>22</v>
      </c>
      <c r="C74" s="8" t="s">
        <v>70</v>
      </c>
      <c r="D74" s="7" t="s">
        <v>86</v>
      </c>
      <c r="E74" s="6">
        <v>4.0</v>
      </c>
      <c r="F74" s="6">
        <v>0.0</v>
      </c>
      <c r="G74" s="6">
        <v>0.0</v>
      </c>
      <c r="H74" s="6">
        <v>1.0</v>
      </c>
      <c r="I74" s="6">
        <v>0.0</v>
      </c>
      <c r="J74" s="6">
        <v>2.0</v>
      </c>
      <c r="K74" s="6">
        <v>0.0</v>
      </c>
      <c r="L74" s="6">
        <f t="shared" si="3"/>
        <v>3</v>
      </c>
      <c r="M74" s="6">
        <v>0.0</v>
      </c>
      <c r="N74" s="9"/>
      <c r="O74" s="10" t="str">
        <f t="shared" si="2"/>
        <v>general</v>
      </c>
      <c r="Q74" s="5">
        <v>24.0</v>
      </c>
    </row>
    <row r="75" ht="22.5" customHeight="1">
      <c r="A75" s="6">
        <v>166.0</v>
      </c>
      <c r="B75" s="7" t="s">
        <v>25</v>
      </c>
      <c r="C75" s="8" t="s">
        <v>76</v>
      </c>
      <c r="D75" s="7" t="s">
        <v>75</v>
      </c>
      <c r="E75" s="6">
        <v>15.0</v>
      </c>
      <c r="F75" s="6">
        <v>1.0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f t="shared" si="3"/>
        <v>1</v>
      </c>
      <c r="M75" s="6">
        <v>129.0</v>
      </c>
      <c r="N75" s="9"/>
      <c r="O75" s="10" t="str">
        <f t="shared" si="2"/>
        <v>postcard</v>
      </c>
      <c r="Q75" s="5">
        <v>25.0</v>
      </c>
    </row>
    <row r="76" ht="22.5" customHeight="1">
      <c r="A76" s="6">
        <v>167.0</v>
      </c>
      <c r="B76" s="7" t="s">
        <v>40</v>
      </c>
      <c r="C76" s="8" t="s">
        <v>64</v>
      </c>
      <c r="D76" s="7" t="s">
        <v>27</v>
      </c>
      <c r="E76" s="6">
        <v>3.0</v>
      </c>
      <c r="F76" s="6">
        <v>0.0</v>
      </c>
      <c r="G76" s="6">
        <v>1.0</v>
      </c>
      <c r="H76" s="6">
        <v>1.0</v>
      </c>
      <c r="I76" s="6">
        <v>2.0</v>
      </c>
      <c r="J76" s="6">
        <v>0.0</v>
      </c>
      <c r="K76" s="6">
        <v>0.0</v>
      </c>
      <c r="L76" s="6">
        <f t="shared" si="3"/>
        <v>4</v>
      </c>
      <c r="M76" s="6">
        <v>0.0</v>
      </c>
      <c r="N76" s="9"/>
      <c r="O76" s="10" t="str">
        <f t="shared" si="2"/>
        <v>general</v>
      </c>
      <c r="Q76" s="5">
        <v>26.0</v>
      </c>
    </row>
    <row r="77" ht="22.5" customHeight="1">
      <c r="A77" s="6">
        <v>176.0</v>
      </c>
      <c r="B77" s="7" t="s">
        <v>40</v>
      </c>
      <c r="C77" s="8" t="s">
        <v>18</v>
      </c>
      <c r="D77" s="7" t="s">
        <v>66</v>
      </c>
      <c r="E77" s="6">
        <v>9.0</v>
      </c>
      <c r="F77" s="6">
        <v>0.0</v>
      </c>
      <c r="G77" s="6">
        <v>0.0</v>
      </c>
      <c r="H77" s="6">
        <v>0.0</v>
      </c>
      <c r="I77" s="6">
        <v>2.0</v>
      </c>
      <c r="J77" s="6">
        <v>0.0</v>
      </c>
      <c r="K77" s="6">
        <v>0.0</v>
      </c>
      <c r="L77" s="6">
        <f t="shared" si="3"/>
        <v>2</v>
      </c>
      <c r="M77" s="6">
        <v>0.0</v>
      </c>
      <c r="N77" s="9"/>
      <c r="O77" s="10" t="str">
        <f t="shared" si="2"/>
        <v>general</v>
      </c>
      <c r="Q77" s="5">
        <v>27.0</v>
      </c>
    </row>
    <row r="78" ht="22.5" customHeight="1">
      <c r="A78" s="6">
        <v>177.0</v>
      </c>
      <c r="B78" s="7" t="s">
        <v>19</v>
      </c>
      <c r="C78" s="8" t="s">
        <v>84</v>
      </c>
      <c r="D78" s="7" t="s">
        <v>39</v>
      </c>
      <c r="E78" s="6">
        <v>12.0</v>
      </c>
      <c r="F78" s="6">
        <v>0.0</v>
      </c>
      <c r="G78" s="6">
        <v>0.0</v>
      </c>
      <c r="H78" s="6">
        <v>0.0</v>
      </c>
      <c r="I78" s="6">
        <v>2.0</v>
      </c>
      <c r="J78" s="6">
        <v>0.0</v>
      </c>
      <c r="K78" s="6">
        <v>0.0</v>
      </c>
      <c r="L78" s="6">
        <f t="shared" si="3"/>
        <v>2</v>
      </c>
      <c r="M78" s="6">
        <v>0.0</v>
      </c>
      <c r="N78" s="9"/>
      <c r="O78" s="10" t="str">
        <f t="shared" si="2"/>
        <v>general</v>
      </c>
      <c r="Q78" s="5">
        <v>28.0</v>
      </c>
    </row>
    <row r="79" ht="22.5" customHeight="1">
      <c r="A79" s="6">
        <v>178.0</v>
      </c>
      <c r="B79" s="7" t="s">
        <v>19</v>
      </c>
      <c r="C79" s="8" t="s">
        <v>84</v>
      </c>
      <c r="D79" s="7" t="s">
        <v>44</v>
      </c>
      <c r="E79" s="6">
        <v>13.0</v>
      </c>
      <c r="F79" s="6">
        <v>0.0</v>
      </c>
      <c r="G79" s="6">
        <v>0.0</v>
      </c>
      <c r="H79" s="6">
        <v>0.0</v>
      </c>
      <c r="I79" s="6">
        <v>2.0</v>
      </c>
      <c r="J79" s="6">
        <v>0.0</v>
      </c>
      <c r="K79" s="6">
        <v>0.0</v>
      </c>
      <c r="L79" s="6">
        <f t="shared" si="3"/>
        <v>2</v>
      </c>
      <c r="M79" s="6">
        <v>0.0</v>
      </c>
      <c r="N79" s="9"/>
      <c r="O79" s="10" t="str">
        <f t="shared" si="2"/>
        <v>general</v>
      </c>
      <c r="Q79" s="5">
        <v>29.0</v>
      </c>
    </row>
    <row r="80" ht="22.5" customHeight="1">
      <c r="A80" s="6">
        <v>181.0</v>
      </c>
      <c r="B80" s="7" t="s">
        <v>16</v>
      </c>
      <c r="C80" s="8" t="s">
        <v>17</v>
      </c>
      <c r="D80" s="7" t="s">
        <v>66</v>
      </c>
      <c r="E80" s="6">
        <v>7.0</v>
      </c>
      <c r="F80" s="6">
        <v>0.0</v>
      </c>
      <c r="G80" s="6">
        <v>1.0</v>
      </c>
      <c r="H80" s="6">
        <v>0.0</v>
      </c>
      <c r="I80" s="6">
        <v>0.0</v>
      </c>
      <c r="J80" s="6">
        <v>0.0</v>
      </c>
      <c r="K80" s="6">
        <v>0.0</v>
      </c>
      <c r="L80" s="6">
        <f t="shared" si="3"/>
        <v>1</v>
      </c>
      <c r="M80" s="6">
        <v>130.0</v>
      </c>
      <c r="N80" s="9"/>
      <c r="O80" s="10" t="str">
        <f t="shared" si="2"/>
        <v>postcard</v>
      </c>
      <c r="Q80" s="5">
        <v>30.0</v>
      </c>
    </row>
    <row r="81" ht="22.5" customHeight="1">
      <c r="A81" s="6">
        <v>182.0</v>
      </c>
      <c r="B81" s="7" t="s">
        <v>19</v>
      </c>
      <c r="C81" s="8" t="s">
        <v>82</v>
      </c>
      <c r="D81" s="7" t="s">
        <v>75</v>
      </c>
      <c r="E81" s="6">
        <v>6.0</v>
      </c>
      <c r="F81" s="6">
        <v>0.0</v>
      </c>
      <c r="G81" s="6">
        <v>1.0</v>
      </c>
      <c r="H81" s="6">
        <v>0.0</v>
      </c>
      <c r="I81" s="6">
        <v>0.0</v>
      </c>
      <c r="J81" s="6">
        <v>0.0</v>
      </c>
      <c r="K81" s="6">
        <v>0.0</v>
      </c>
      <c r="L81" s="6">
        <f t="shared" si="3"/>
        <v>1</v>
      </c>
      <c r="M81" s="6">
        <v>118.0</v>
      </c>
      <c r="N81" s="9"/>
      <c r="O81" s="10" t="str">
        <f t="shared" si="2"/>
        <v>postcard</v>
      </c>
      <c r="Q81" s="5">
        <v>31.0</v>
      </c>
    </row>
    <row r="82" ht="22.5" customHeight="1">
      <c r="A82" s="6">
        <v>183.0</v>
      </c>
      <c r="B82" s="7" t="s">
        <v>37</v>
      </c>
      <c r="C82" s="8" t="s">
        <v>85</v>
      </c>
      <c r="D82" s="7" t="s">
        <v>23</v>
      </c>
      <c r="E82" s="6">
        <v>9.0</v>
      </c>
      <c r="F82" s="6">
        <v>0.0</v>
      </c>
      <c r="G82" s="6">
        <v>1.0</v>
      </c>
      <c r="H82" s="6">
        <v>0.0</v>
      </c>
      <c r="I82" s="6">
        <v>0.0</v>
      </c>
      <c r="J82" s="6">
        <v>2.0</v>
      </c>
      <c r="K82" s="6">
        <v>0.0</v>
      </c>
      <c r="L82" s="6">
        <f t="shared" si="3"/>
        <v>3</v>
      </c>
      <c r="M82" s="6">
        <v>0.0</v>
      </c>
      <c r="N82" s="9"/>
      <c r="O82" s="10" t="str">
        <f t="shared" si="2"/>
        <v>general</v>
      </c>
      <c r="Q82" s="5">
        <v>32.0</v>
      </c>
    </row>
    <row r="83" ht="22.5" customHeight="1">
      <c r="A83" s="6">
        <v>184.0</v>
      </c>
      <c r="B83" s="7" t="s">
        <v>16</v>
      </c>
      <c r="C83" s="8" t="s">
        <v>81</v>
      </c>
      <c r="D83" s="7" t="s">
        <v>64</v>
      </c>
      <c r="E83" s="6">
        <v>20.0</v>
      </c>
      <c r="F83" s="6">
        <v>0.0</v>
      </c>
      <c r="G83" s="6">
        <v>0.0</v>
      </c>
      <c r="H83" s="6">
        <v>0.0</v>
      </c>
      <c r="I83" s="6">
        <v>0.0</v>
      </c>
      <c r="J83" s="6">
        <v>1.0</v>
      </c>
      <c r="K83" s="6">
        <v>0.0</v>
      </c>
      <c r="L83" s="6">
        <f t="shared" si="3"/>
        <v>1</v>
      </c>
      <c r="M83" s="6">
        <v>132.0</v>
      </c>
      <c r="N83" s="9"/>
      <c r="O83" s="10" t="str">
        <f t="shared" si="2"/>
        <v>postcard</v>
      </c>
      <c r="Q83" s="5">
        <v>33.0</v>
      </c>
    </row>
    <row r="84" ht="22.5" customHeight="1">
      <c r="A84" s="6">
        <v>185.0</v>
      </c>
      <c r="B84" s="7" t="s">
        <v>40</v>
      </c>
      <c r="C84" s="8" t="s">
        <v>75</v>
      </c>
      <c r="D84" s="7" t="s">
        <v>60</v>
      </c>
      <c r="E84" s="6">
        <v>4.0</v>
      </c>
      <c r="F84" s="6">
        <v>0.0</v>
      </c>
      <c r="G84" s="6">
        <v>2.0</v>
      </c>
      <c r="H84" s="6">
        <v>0.0</v>
      </c>
      <c r="I84" s="6">
        <v>1.0</v>
      </c>
      <c r="J84" s="6">
        <v>1.0</v>
      </c>
      <c r="K84" s="6">
        <v>0.0</v>
      </c>
      <c r="L84" s="6">
        <f t="shared" si="3"/>
        <v>4</v>
      </c>
      <c r="M84" s="6">
        <v>0.0</v>
      </c>
      <c r="N84" s="9"/>
      <c r="O84" s="10" t="str">
        <f t="shared" si="2"/>
        <v>general</v>
      </c>
      <c r="Q84" s="5">
        <v>34.0</v>
      </c>
    </row>
    <row r="85" ht="22.5" customHeight="1">
      <c r="A85" s="6">
        <v>186.0</v>
      </c>
      <c r="B85" s="7" t="s">
        <v>40</v>
      </c>
      <c r="C85" s="8" t="s">
        <v>41</v>
      </c>
      <c r="D85" s="7" t="s">
        <v>51</v>
      </c>
      <c r="E85" s="6">
        <v>5.0</v>
      </c>
      <c r="F85" s="6">
        <v>0.0</v>
      </c>
      <c r="G85" s="6">
        <v>2.0</v>
      </c>
      <c r="H85" s="6">
        <v>1.0</v>
      </c>
      <c r="I85" s="6">
        <v>1.0</v>
      </c>
      <c r="J85" s="6">
        <v>1.0</v>
      </c>
      <c r="K85" s="6">
        <v>0.0</v>
      </c>
      <c r="L85" s="6">
        <f t="shared" si="3"/>
        <v>5</v>
      </c>
      <c r="M85" s="6">
        <v>0.0</v>
      </c>
      <c r="N85" s="9"/>
      <c r="O85" s="10" t="str">
        <f t="shared" si="2"/>
        <v>general</v>
      </c>
      <c r="Q85" s="5">
        <v>35.0</v>
      </c>
    </row>
    <row r="86" ht="22.5" customHeight="1">
      <c r="A86" s="6">
        <v>187.0</v>
      </c>
      <c r="B86" s="7" t="s">
        <v>37</v>
      </c>
      <c r="C86" s="8" t="s">
        <v>78</v>
      </c>
      <c r="D86" s="7" t="s">
        <v>74</v>
      </c>
      <c r="E86" s="6">
        <v>8.0</v>
      </c>
      <c r="F86" s="6">
        <v>2.0</v>
      </c>
      <c r="G86" s="6">
        <v>0.0</v>
      </c>
      <c r="H86" s="6">
        <v>1.0</v>
      </c>
      <c r="I86" s="6">
        <v>0.0</v>
      </c>
      <c r="J86" s="6">
        <v>0.0</v>
      </c>
      <c r="K86" s="6">
        <v>0.0</v>
      </c>
      <c r="L86" s="6">
        <f t="shared" si="3"/>
        <v>3</v>
      </c>
      <c r="M86" s="6">
        <v>0.0</v>
      </c>
      <c r="N86" s="9"/>
      <c r="O86" s="10" t="str">
        <f t="shared" si="2"/>
        <v>general</v>
      </c>
      <c r="Q86" s="5">
        <v>36.0</v>
      </c>
    </row>
    <row r="87" ht="22.5" customHeight="1">
      <c r="A87" s="6">
        <v>188.0</v>
      </c>
      <c r="B87" s="7" t="s">
        <v>16</v>
      </c>
      <c r="C87" s="8" t="s">
        <v>77</v>
      </c>
      <c r="D87" s="7" t="s">
        <v>30</v>
      </c>
      <c r="E87" s="6">
        <v>16.0</v>
      </c>
      <c r="F87" s="6">
        <v>1.0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f t="shared" si="3"/>
        <v>1</v>
      </c>
      <c r="M87" s="6">
        <v>131.0</v>
      </c>
      <c r="N87" s="9"/>
      <c r="O87" s="10" t="str">
        <f t="shared" si="2"/>
        <v>postcard</v>
      </c>
      <c r="Q87" s="5">
        <v>37.0</v>
      </c>
    </row>
    <row r="88" ht="22.5" customHeight="1">
      <c r="A88" s="6">
        <v>195.0</v>
      </c>
      <c r="B88" s="7" t="s">
        <v>19</v>
      </c>
      <c r="C88" s="8" t="s">
        <v>20</v>
      </c>
      <c r="D88" s="7" t="s">
        <v>74</v>
      </c>
      <c r="E88" s="6">
        <v>9.0</v>
      </c>
      <c r="F88" s="6">
        <v>0.0</v>
      </c>
      <c r="G88" s="6">
        <v>0.0</v>
      </c>
      <c r="H88" s="6">
        <v>1.0</v>
      </c>
      <c r="I88" s="6">
        <v>0.0</v>
      </c>
      <c r="J88" s="6">
        <v>0.0</v>
      </c>
      <c r="K88" s="6">
        <v>0.0</v>
      </c>
      <c r="L88" s="6">
        <f t="shared" si="3"/>
        <v>1</v>
      </c>
      <c r="M88" s="6">
        <v>119.0</v>
      </c>
      <c r="N88" s="9"/>
      <c r="O88" s="10" t="str">
        <f t="shared" si="2"/>
        <v>postcard</v>
      </c>
      <c r="Q88" s="5">
        <v>38.0</v>
      </c>
    </row>
    <row r="89" ht="22.5" customHeight="1">
      <c r="A89" s="6">
        <v>196.0</v>
      </c>
      <c r="B89" s="7" t="s">
        <v>37</v>
      </c>
      <c r="C89" s="8" t="s">
        <v>68</v>
      </c>
      <c r="D89" s="7" t="s">
        <v>30</v>
      </c>
      <c r="E89" s="6">
        <v>9.0</v>
      </c>
      <c r="F89" s="6">
        <v>0.0</v>
      </c>
      <c r="G89" s="6">
        <v>0.0</v>
      </c>
      <c r="H89" s="6">
        <v>2.0</v>
      </c>
      <c r="I89" s="6">
        <v>0.0</v>
      </c>
      <c r="J89" s="6">
        <v>1.0</v>
      </c>
      <c r="K89" s="6">
        <v>0.0</v>
      </c>
      <c r="L89" s="6">
        <f t="shared" si="3"/>
        <v>3</v>
      </c>
      <c r="M89" s="6">
        <v>0.0</v>
      </c>
      <c r="N89" s="9"/>
      <c r="O89" s="10" t="str">
        <f t="shared" si="2"/>
        <v>general</v>
      </c>
      <c r="Q89" s="5">
        <v>39.0</v>
      </c>
    </row>
    <row r="90" ht="22.5" customHeight="1">
      <c r="A90" s="6">
        <v>197.0</v>
      </c>
      <c r="B90" s="7" t="s">
        <v>37</v>
      </c>
      <c r="C90" s="8" t="s">
        <v>85</v>
      </c>
      <c r="D90" s="7" t="s">
        <v>51</v>
      </c>
      <c r="E90" s="6">
        <v>6.0</v>
      </c>
      <c r="F90" s="6">
        <v>0.0</v>
      </c>
      <c r="G90" s="6">
        <v>2.0</v>
      </c>
      <c r="H90" s="6">
        <v>0.0</v>
      </c>
      <c r="I90" s="6">
        <v>0.0</v>
      </c>
      <c r="J90" s="6">
        <v>1.0</v>
      </c>
      <c r="K90" s="6">
        <v>0.0</v>
      </c>
      <c r="L90" s="6">
        <f t="shared" si="3"/>
        <v>3</v>
      </c>
      <c r="M90" s="6">
        <v>0.0</v>
      </c>
      <c r="N90" s="9"/>
      <c r="O90" s="10" t="str">
        <f t="shared" si="2"/>
        <v>general</v>
      </c>
      <c r="Q90" s="5">
        <v>40.0</v>
      </c>
    </row>
    <row r="91" ht="22.5" customHeight="1">
      <c r="A91" s="6">
        <v>199.0</v>
      </c>
      <c r="B91" s="7" t="s">
        <v>19</v>
      </c>
      <c r="C91" s="8" t="s">
        <v>63</v>
      </c>
      <c r="D91" s="7" t="s">
        <v>46</v>
      </c>
      <c r="E91" s="6">
        <v>8.0</v>
      </c>
      <c r="F91" s="6">
        <v>0.0</v>
      </c>
      <c r="G91" s="6">
        <v>1.0</v>
      </c>
      <c r="H91" s="6">
        <v>0.0</v>
      </c>
      <c r="I91" s="6">
        <v>0.0</v>
      </c>
      <c r="J91" s="6">
        <v>0.0</v>
      </c>
      <c r="K91" s="6">
        <v>0.0</v>
      </c>
      <c r="L91" s="6">
        <f t="shared" si="3"/>
        <v>1</v>
      </c>
      <c r="M91" s="6">
        <v>117.0</v>
      </c>
      <c r="N91" s="9"/>
      <c r="O91" s="10" t="str">
        <f t="shared" si="2"/>
        <v>postcard</v>
      </c>
      <c r="Q91" s="5">
        <v>41.0</v>
      </c>
    </row>
    <row r="92" ht="22.5" customHeight="1">
      <c r="A92" s="6">
        <v>200.0</v>
      </c>
      <c r="B92" s="7" t="s">
        <v>40</v>
      </c>
      <c r="C92" s="8" t="s">
        <v>70</v>
      </c>
      <c r="D92" s="7" t="s">
        <v>46</v>
      </c>
      <c r="E92" s="6">
        <v>6.0</v>
      </c>
      <c r="F92" s="6">
        <v>1.0</v>
      </c>
      <c r="G92" s="6">
        <v>1.0</v>
      </c>
      <c r="H92" s="6">
        <v>0.0</v>
      </c>
      <c r="I92" s="6">
        <v>0.0</v>
      </c>
      <c r="J92" s="6">
        <v>2.0</v>
      </c>
      <c r="K92" s="6">
        <v>0.0</v>
      </c>
      <c r="L92" s="6">
        <f t="shared" si="3"/>
        <v>4</v>
      </c>
      <c r="M92" s="6">
        <v>0.0</v>
      </c>
      <c r="N92" s="9"/>
      <c r="O92" s="10" t="str">
        <f t="shared" si="2"/>
        <v>general</v>
      </c>
      <c r="Q92" s="5">
        <v>42.0</v>
      </c>
    </row>
    <row r="93" ht="22.5" customHeight="1">
      <c r="A93" s="6">
        <v>201.0</v>
      </c>
      <c r="B93" s="7" t="s">
        <v>37</v>
      </c>
      <c r="C93" s="8" t="s">
        <v>87</v>
      </c>
      <c r="D93" s="7" t="s">
        <v>60</v>
      </c>
      <c r="E93" s="6">
        <v>7.0</v>
      </c>
      <c r="F93" s="6">
        <v>0.0</v>
      </c>
      <c r="G93" s="6">
        <v>0.0</v>
      </c>
      <c r="H93" s="6">
        <v>0.0</v>
      </c>
      <c r="I93" s="6">
        <v>0.0</v>
      </c>
      <c r="J93" s="6">
        <v>2.0</v>
      </c>
      <c r="K93" s="6">
        <v>0.0</v>
      </c>
      <c r="L93" s="6">
        <f t="shared" si="3"/>
        <v>2</v>
      </c>
      <c r="M93" s="6">
        <v>0.0</v>
      </c>
      <c r="N93" s="9"/>
      <c r="O93" s="10" t="str">
        <f t="shared" si="2"/>
        <v>general</v>
      </c>
      <c r="Q93" s="5">
        <v>43.0</v>
      </c>
    </row>
    <row r="94" ht="22.5" customHeight="1">
      <c r="A94" s="6">
        <v>202.0</v>
      </c>
      <c r="B94" s="7" t="s">
        <v>40</v>
      </c>
      <c r="C94" s="8" t="s">
        <v>69</v>
      </c>
      <c r="D94" s="7" t="s">
        <v>30</v>
      </c>
      <c r="E94" s="6">
        <v>10.0</v>
      </c>
      <c r="F94" s="6">
        <v>1.0</v>
      </c>
      <c r="G94" s="6">
        <v>0.0</v>
      </c>
      <c r="H94" s="6">
        <v>0.0</v>
      </c>
      <c r="I94" s="6">
        <v>0.0</v>
      </c>
      <c r="J94" s="6">
        <v>2.0</v>
      </c>
      <c r="K94" s="6">
        <v>0.0</v>
      </c>
      <c r="L94" s="6">
        <f t="shared" si="3"/>
        <v>3</v>
      </c>
      <c r="M94" s="6">
        <v>0.0</v>
      </c>
      <c r="N94" s="9"/>
      <c r="O94" s="10" t="str">
        <f t="shared" si="2"/>
        <v>general</v>
      </c>
      <c r="Q94" s="5">
        <v>44.0</v>
      </c>
    </row>
    <row r="95" ht="22.5" customHeight="1">
      <c r="A95" s="6">
        <v>203.0</v>
      </c>
      <c r="B95" s="7" t="s">
        <v>22</v>
      </c>
      <c r="C95" s="8" t="s">
        <v>39</v>
      </c>
      <c r="D95" s="7" t="s">
        <v>62</v>
      </c>
      <c r="E95" s="6">
        <v>10.0</v>
      </c>
      <c r="F95" s="6">
        <v>0.0</v>
      </c>
      <c r="G95" s="6">
        <v>0.0</v>
      </c>
      <c r="H95" s="6">
        <v>0.0</v>
      </c>
      <c r="I95" s="6">
        <v>1.0</v>
      </c>
      <c r="J95" s="6">
        <v>1.0</v>
      </c>
      <c r="K95" s="6">
        <v>0.0</v>
      </c>
      <c r="L95" s="6">
        <f t="shared" si="3"/>
        <v>2</v>
      </c>
      <c r="M95" s="6">
        <v>0.0</v>
      </c>
      <c r="N95" s="8" t="s">
        <v>88</v>
      </c>
      <c r="O95" s="10" t="str">
        <f t="shared" si="2"/>
        <v>illegal</v>
      </c>
      <c r="Q95" s="5">
        <v>45.0</v>
      </c>
    </row>
    <row r="96" ht="22.5" customHeight="1">
      <c r="A96" s="6">
        <v>204.0</v>
      </c>
      <c r="B96" s="7" t="s">
        <v>19</v>
      </c>
      <c r="C96" s="8" t="s">
        <v>84</v>
      </c>
      <c r="D96" s="7" t="s">
        <v>36</v>
      </c>
      <c r="E96" s="6">
        <v>11.0</v>
      </c>
      <c r="F96" s="6">
        <v>0.0</v>
      </c>
      <c r="G96" s="6">
        <v>0.0</v>
      </c>
      <c r="H96" s="6">
        <v>0.0</v>
      </c>
      <c r="I96" s="6">
        <v>1.0</v>
      </c>
      <c r="J96" s="6">
        <v>0.0</v>
      </c>
      <c r="K96" s="6">
        <v>0.0</v>
      </c>
      <c r="L96" s="6">
        <f t="shared" si="3"/>
        <v>1</v>
      </c>
      <c r="M96" s="6">
        <v>116.0</v>
      </c>
      <c r="N96" s="9"/>
      <c r="O96" s="10" t="str">
        <f t="shared" si="2"/>
        <v>postcard</v>
      </c>
      <c r="Q96" s="5">
        <v>46.0</v>
      </c>
    </row>
    <row r="97" ht="22.5" customHeight="1">
      <c r="A97" s="6">
        <v>205.0</v>
      </c>
      <c r="B97" s="7" t="s">
        <v>37</v>
      </c>
      <c r="C97" s="8" t="s">
        <v>78</v>
      </c>
      <c r="D97" s="7" t="s">
        <v>66</v>
      </c>
      <c r="E97" s="6">
        <v>11.0</v>
      </c>
      <c r="F97" s="6">
        <v>0.0</v>
      </c>
      <c r="G97" s="6">
        <v>0.0</v>
      </c>
      <c r="H97" s="6">
        <v>0.0</v>
      </c>
      <c r="I97" s="6">
        <v>2.0</v>
      </c>
      <c r="J97" s="6">
        <v>0.0</v>
      </c>
      <c r="K97" s="6">
        <v>0.0</v>
      </c>
      <c r="L97" s="6">
        <f t="shared" si="3"/>
        <v>2</v>
      </c>
      <c r="M97" s="6">
        <v>0.0</v>
      </c>
      <c r="N97" s="9"/>
      <c r="O97" s="10" t="str">
        <f t="shared" si="2"/>
        <v>general</v>
      </c>
      <c r="Q97" s="5">
        <v>47.0</v>
      </c>
    </row>
    <row r="98" ht="22.5" customHeight="1">
      <c r="A98" s="6">
        <v>206.0</v>
      </c>
      <c r="B98" s="7" t="s">
        <v>40</v>
      </c>
      <c r="C98" s="8" t="s">
        <v>56</v>
      </c>
      <c r="D98" s="7" t="s">
        <v>44</v>
      </c>
      <c r="E98" s="6">
        <v>6.0</v>
      </c>
      <c r="F98" s="6">
        <v>0.0</v>
      </c>
      <c r="G98" s="6">
        <v>0.0</v>
      </c>
      <c r="H98" s="6">
        <v>0.0</v>
      </c>
      <c r="I98" s="6">
        <v>2.0</v>
      </c>
      <c r="J98" s="6">
        <v>1.0</v>
      </c>
      <c r="K98" s="6">
        <v>0.0</v>
      </c>
      <c r="L98" s="6">
        <f t="shared" si="3"/>
        <v>3</v>
      </c>
      <c r="M98" s="6">
        <v>0.0</v>
      </c>
      <c r="N98" s="9"/>
      <c r="O98" s="10" t="str">
        <f t="shared" si="2"/>
        <v>general</v>
      </c>
      <c r="Q98" s="5">
        <v>48.0</v>
      </c>
    </row>
    <row r="99" ht="22.5" customHeight="1">
      <c r="A99" s="6">
        <v>207.0</v>
      </c>
      <c r="B99" s="7" t="s">
        <v>19</v>
      </c>
      <c r="C99" s="8" t="s">
        <v>21</v>
      </c>
      <c r="D99" s="7" t="s">
        <v>23</v>
      </c>
      <c r="E99" s="6">
        <v>14.0</v>
      </c>
      <c r="F99" s="6">
        <v>1.0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f t="shared" si="3"/>
        <v>1</v>
      </c>
      <c r="M99" s="6">
        <v>120.0</v>
      </c>
      <c r="N99" s="9"/>
      <c r="O99" s="10" t="str">
        <f t="shared" si="2"/>
        <v>postcard</v>
      </c>
      <c r="Q99" s="5">
        <v>49.0</v>
      </c>
    </row>
    <row r="100" ht="22.5" customHeight="1">
      <c r="A100" s="6">
        <v>211.0</v>
      </c>
      <c r="B100" s="7" t="s">
        <v>22</v>
      </c>
      <c r="C100" s="8" t="s">
        <v>56</v>
      </c>
      <c r="D100" s="7" t="s">
        <v>24</v>
      </c>
      <c r="E100" s="6">
        <v>7.0</v>
      </c>
      <c r="F100" s="6">
        <v>0.0</v>
      </c>
      <c r="G100" s="6">
        <v>1.0</v>
      </c>
      <c r="H100" s="6">
        <v>0.0</v>
      </c>
      <c r="I100" s="6">
        <v>0.0</v>
      </c>
      <c r="J100" s="6">
        <v>0.0</v>
      </c>
      <c r="K100" s="6">
        <v>0.0</v>
      </c>
      <c r="L100" s="6">
        <f t="shared" si="3"/>
        <v>1</v>
      </c>
      <c r="M100" s="6">
        <v>122.0</v>
      </c>
      <c r="N100" s="9"/>
      <c r="O100" s="10" t="str">
        <f t="shared" si="2"/>
        <v>postcard</v>
      </c>
      <c r="Q100" s="5">
        <v>50.0</v>
      </c>
    </row>
    <row r="101" ht="22.5" customHeight="1">
      <c r="A101" s="6">
        <v>212.0</v>
      </c>
      <c r="B101" s="7" t="s">
        <v>40</v>
      </c>
      <c r="C101" s="8" t="s">
        <v>39</v>
      </c>
      <c r="D101" s="7" t="s">
        <v>23</v>
      </c>
      <c r="E101" s="6">
        <v>1.0</v>
      </c>
      <c r="F101" s="6">
        <v>0.0</v>
      </c>
      <c r="G101" s="6">
        <v>2.0</v>
      </c>
      <c r="H101" s="6">
        <v>0.0</v>
      </c>
      <c r="I101" s="6">
        <v>0.0</v>
      </c>
      <c r="J101" s="6">
        <v>1.0</v>
      </c>
      <c r="K101" s="6">
        <v>0.0</v>
      </c>
      <c r="L101" s="6">
        <f t="shared" si="3"/>
        <v>3</v>
      </c>
      <c r="M101" s="6">
        <v>0.0</v>
      </c>
      <c r="N101" s="9"/>
      <c r="O101" s="10" t="str">
        <f t="shared" si="2"/>
        <v>general</v>
      </c>
      <c r="Q101" s="5">
        <v>51.0</v>
      </c>
    </row>
    <row r="102" ht="22.5" customHeight="1">
      <c r="A102" s="6">
        <v>213.0</v>
      </c>
      <c r="B102" s="7" t="s">
        <v>22</v>
      </c>
      <c r="C102" s="8" t="s">
        <v>74</v>
      </c>
      <c r="D102" s="7" t="s">
        <v>86</v>
      </c>
      <c r="E102" s="6">
        <v>7.0</v>
      </c>
      <c r="F102" s="6">
        <v>0.0</v>
      </c>
      <c r="G102" s="6">
        <v>1.0</v>
      </c>
      <c r="H102" s="6">
        <v>0.0</v>
      </c>
      <c r="I102" s="6">
        <v>0.0</v>
      </c>
      <c r="J102" s="6">
        <v>0.0</v>
      </c>
      <c r="K102" s="6">
        <v>0.0</v>
      </c>
      <c r="L102" s="6">
        <f t="shared" si="3"/>
        <v>1</v>
      </c>
      <c r="M102" s="6">
        <v>123.0</v>
      </c>
      <c r="N102" s="9"/>
      <c r="O102" s="10" t="str">
        <f t="shared" si="2"/>
        <v>postcard</v>
      </c>
      <c r="Q102" s="5">
        <v>52.0</v>
      </c>
    </row>
    <row r="103" ht="22.5" customHeight="1">
      <c r="A103" s="6">
        <v>214.0</v>
      </c>
      <c r="B103" s="7" t="s">
        <v>22</v>
      </c>
      <c r="C103" s="8" t="s">
        <v>66</v>
      </c>
      <c r="D103" s="7" t="s">
        <v>62</v>
      </c>
      <c r="E103" s="6">
        <v>6.0</v>
      </c>
      <c r="F103" s="6">
        <v>0.0</v>
      </c>
      <c r="G103" s="6">
        <v>1.0</v>
      </c>
      <c r="H103" s="6">
        <v>0.0</v>
      </c>
      <c r="I103" s="6">
        <v>0.0</v>
      </c>
      <c r="J103" s="6">
        <v>0.0</v>
      </c>
      <c r="K103" s="6">
        <v>0.0</v>
      </c>
      <c r="L103" s="6">
        <f t="shared" si="3"/>
        <v>1</v>
      </c>
      <c r="M103" s="6">
        <v>121.0</v>
      </c>
      <c r="N103" s="9"/>
      <c r="O103" s="10" t="str">
        <f t="shared" si="2"/>
        <v>postcard</v>
      </c>
      <c r="Q103" s="5">
        <v>53.0</v>
      </c>
    </row>
    <row r="104" ht="22.5" customHeight="1">
      <c r="A104" s="6">
        <v>215.0</v>
      </c>
      <c r="B104" s="7" t="s">
        <v>40</v>
      </c>
      <c r="C104" s="8" t="s">
        <v>41</v>
      </c>
      <c r="D104" s="7" t="s">
        <v>44</v>
      </c>
      <c r="E104" s="6">
        <v>9.0</v>
      </c>
      <c r="F104" s="6">
        <v>0.0</v>
      </c>
      <c r="G104" s="6">
        <v>1.0</v>
      </c>
      <c r="H104" s="6">
        <v>0.0</v>
      </c>
      <c r="I104" s="6">
        <v>0.0</v>
      </c>
      <c r="J104" s="6">
        <v>0.0</v>
      </c>
      <c r="K104" s="6">
        <v>0.0</v>
      </c>
      <c r="L104" s="6">
        <f t="shared" si="3"/>
        <v>1</v>
      </c>
      <c r="M104" s="6">
        <v>106.0</v>
      </c>
      <c r="N104" s="9"/>
      <c r="O104" s="10" t="str">
        <f t="shared" si="2"/>
        <v>postcard</v>
      </c>
      <c r="Q104" s="5">
        <v>54.0</v>
      </c>
    </row>
    <row r="105" ht="22.5" customHeight="1">
      <c r="A105" s="6">
        <v>216.0</v>
      </c>
      <c r="B105" s="7" t="s">
        <v>40</v>
      </c>
      <c r="C105" s="8" t="s">
        <v>36</v>
      </c>
      <c r="D105" s="7" t="s">
        <v>51</v>
      </c>
      <c r="E105" s="6">
        <v>6.0</v>
      </c>
      <c r="F105" s="6">
        <v>0.0</v>
      </c>
      <c r="G105" s="6">
        <v>1.0</v>
      </c>
      <c r="H105" s="6">
        <v>0.0</v>
      </c>
      <c r="I105" s="6">
        <v>0.0</v>
      </c>
      <c r="J105" s="6">
        <v>0.0</v>
      </c>
      <c r="K105" s="6">
        <v>0.0</v>
      </c>
      <c r="L105" s="6">
        <f t="shared" si="3"/>
        <v>1</v>
      </c>
      <c r="M105" s="6">
        <v>110.0</v>
      </c>
      <c r="N105" s="9"/>
      <c r="O105" s="10" t="str">
        <f t="shared" si="2"/>
        <v>postcard</v>
      </c>
      <c r="Q105" s="5">
        <v>55.0</v>
      </c>
    </row>
    <row r="106" ht="22.5" customHeight="1">
      <c r="A106" s="6">
        <v>217.0</v>
      </c>
      <c r="B106" s="7" t="s">
        <v>40</v>
      </c>
      <c r="C106" s="8" t="s">
        <v>44</v>
      </c>
      <c r="D106" s="7" t="s">
        <v>46</v>
      </c>
      <c r="E106" s="6">
        <v>3.0</v>
      </c>
      <c r="F106" s="6">
        <v>0.0</v>
      </c>
      <c r="G106" s="6">
        <v>0.0</v>
      </c>
      <c r="H106" s="6">
        <v>0.0</v>
      </c>
      <c r="I106" s="6">
        <v>0.0</v>
      </c>
      <c r="J106" s="6">
        <v>1.0</v>
      </c>
      <c r="K106" s="6">
        <v>0.0</v>
      </c>
      <c r="L106" s="6">
        <f t="shared" si="3"/>
        <v>1</v>
      </c>
      <c r="M106" s="6">
        <v>112.0</v>
      </c>
      <c r="N106" s="9"/>
      <c r="O106" s="10" t="str">
        <f t="shared" si="2"/>
        <v>postcard</v>
      </c>
      <c r="Q106" s="5">
        <v>56.0</v>
      </c>
    </row>
    <row r="107" ht="22.5" customHeight="1">
      <c r="A107" s="6">
        <v>218.0</v>
      </c>
      <c r="B107" s="7" t="s">
        <v>40</v>
      </c>
      <c r="C107" s="8" t="s">
        <v>46</v>
      </c>
      <c r="D107" s="7" t="s">
        <v>51</v>
      </c>
      <c r="E107" s="6">
        <v>5.0</v>
      </c>
      <c r="F107" s="6">
        <v>1.0</v>
      </c>
      <c r="G107" s="6">
        <v>1.0</v>
      </c>
      <c r="H107" s="6">
        <v>1.0</v>
      </c>
      <c r="I107" s="6">
        <v>0.0</v>
      </c>
      <c r="J107" s="6">
        <v>2.0</v>
      </c>
      <c r="K107" s="6">
        <v>0.0</v>
      </c>
      <c r="L107" s="6">
        <f t="shared" si="3"/>
        <v>5</v>
      </c>
      <c r="M107" s="6">
        <v>0.0</v>
      </c>
      <c r="N107" s="9"/>
      <c r="O107" s="10" t="str">
        <f t="shared" si="2"/>
        <v>general</v>
      </c>
      <c r="Q107" s="5">
        <v>57.0</v>
      </c>
    </row>
    <row r="108" ht="22.5" customHeight="1">
      <c r="A108" s="6">
        <v>219.0</v>
      </c>
      <c r="B108" s="7" t="s">
        <v>40</v>
      </c>
      <c r="C108" s="8" t="s">
        <v>48</v>
      </c>
      <c r="D108" s="7" t="s">
        <v>30</v>
      </c>
      <c r="E108" s="6">
        <v>3.0</v>
      </c>
      <c r="F108" s="6">
        <v>1.0</v>
      </c>
      <c r="G108" s="6">
        <v>1.0</v>
      </c>
      <c r="H108" s="6">
        <v>0.0</v>
      </c>
      <c r="I108" s="6">
        <v>0.0</v>
      </c>
      <c r="J108" s="6">
        <v>2.0</v>
      </c>
      <c r="K108" s="6">
        <v>0.0</v>
      </c>
      <c r="L108" s="6">
        <f t="shared" si="3"/>
        <v>4</v>
      </c>
      <c r="M108" s="6">
        <v>0.0</v>
      </c>
      <c r="N108" s="9"/>
      <c r="O108" s="10" t="str">
        <f t="shared" si="2"/>
        <v>general</v>
      </c>
      <c r="Q108" s="5">
        <v>58.0</v>
      </c>
    </row>
    <row r="109" ht="22.5" customHeight="1">
      <c r="A109" s="6">
        <v>220.0</v>
      </c>
      <c r="B109" s="7" t="s">
        <v>40</v>
      </c>
      <c r="C109" s="8" t="s">
        <v>66</v>
      </c>
      <c r="D109" s="7" t="s">
        <v>51</v>
      </c>
      <c r="E109" s="6">
        <v>6.0</v>
      </c>
      <c r="F109" s="6">
        <v>1.0</v>
      </c>
      <c r="G109" s="6">
        <v>0.0</v>
      </c>
      <c r="H109" s="6">
        <v>0.0</v>
      </c>
      <c r="I109" s="6">
        <v>2.0</v>
      </c>
      <c r="J109" s="6">
        <v>0.0</v>
      </c>
      <c r="K109" s="6">
        <v>0.0</v>
      </c>
      <c r="L109" s="6">
        <f t="shared" si="3"/>
        <v>3</v>
      </c>
      <c r="M109" s="6">
        <v>0.0</v>
      </c>
      <c r="N109" s="9"/>
      <c r="O109" s="10" t="str">
        <f t="shared" si="2"/>
        <v>general</v>
      </c>
      <c r="Q109" s="5">
        <v>59.0</v>
      </c>
    </row>
    <row r="110" ht="22.5" customHeight="1">
      <c r="A110" s="6">
        <v>221.0</v>
      </c>
      <c r="B110" s="7" t="s">
        <v>40</v>
      </c>
      <c r="C110" s="8" t="s">
        <v>75</v>
      </c>
      <c r="D110" s="7" t="s">
        <v>23</v>
      </c>
      <c r="E110" s="6">
        <v>11.0</v>
      </c>
      <c r="F110" s="6">
        <v>0.0</v>
      </c>
      <c r="G110" s="6">
        <v>0.0</v>
      </c>
      <c r="H110" s="6">
        <v>0.0</v>
      </c>
      <c r="I110" s="6">
        <v>2.0</v>
      </c>
      <c r="J110" s="6">
        <v>0.0</v>
      </c>
      <c r="K110" s="6">
        <v>0.0</v>
      </c>
      <c r="L110" s="6">
        <f t="shared" si="3"/>
        <v>2</v>
      </c>
      <c r="M110" s="6">
        <v>0.0</v>
      </c>
      <c r="N110" s="9"/>
      <c r="O110" s="10" t="str">
        <f t="shared" si="2"/>
        <v>general</v>
      </c>
      <c r="Q110" s="5">
        <v>60.0</v>
      </c>
    </row>
    <row r="111" ht="22.5" customHeight="1">
      <c r="A111" s="6">
        <v>225.0</v>
      </c>
      <c r="B111" s="7" t="s">
        <v>37</v>
      </c>
      <c r="C111" s="8" t="s">
        <v>83</v>
      </c>
      <c r="D111" s="7" t="s">
        <v>58</v>
      </c>
      <c r="E111" s="6">
        <v>4.0</v>
      </c>
      <c r="F111" s="6">
        <v>0.0</v>
      </c>
      <c r="G111" s="6">
        <v>0.0</v>
      </c>
      <c r="H111" s="6">
        <v>0.0</v>
      </c>
      <c r="I111" s="6">
        <v>0.0</v>
      </c>
      <c r="J111" s="6">
        <v>1.0</v>
      </c>
      <c r="K111" s="6">
        <v>0.0</v>
      </c>
      <c r="L111" s="6">
        <f t="shared" si="3"/>
        <v>1</v>
      </c>
      <c r="M111" s="6">
        <v>113.0</v>
      </c>
      <c r="N111" s="9"/>
      <c r="O111" s="10" t="str">
        <f t="shared" si="2"/>
        <v>postcard</v>
      </c>
      <c r="Q111" s="5">
        <v>61.0</v>
      </c>
    </row>
    <row r="112" ht="22.5" customHeight="1">
      <c r="A112" s="6">
        <v>226.0</v>
      </c>
      <c r="B112" s="7" t="s">
        <v>40</v>
      </c>
      <c r="C112" s="8" t="s">
        <v>58</v>
      </c>
      <c r="D112" s="7" t="s">
        <v>23</v>
      </c>
      <c r="E112" s="6">
        <v>7.0</v>
      </c>
      <c r="F112" s="6">
        <v>0.0</v>
      </c>
      <c r="G112" s="6">
        <v>0.0</v>
      </c>
      <c r="H112" s="6">
        <v>0.0</v>
      </c>
      <c r="I112" s="6">
        <v>0.0</v>
      </c>
      <c r="J112" s="6">
        <v>2.0</v>
      </c>
      <c r="K112" s="6">
        <v>0.0</v>
      </c>
      <c r="L112" s="6">
        <f t="shared" si="3"/>
        <v>2</v>
      </c>
      <c r="M112" s="6">
        <v>0.0</v>
      </c>
      <c r="N112" s="9"/>
      <c r="O112" s="10" t="str">
        <f t="shared" si="2"/>
        <v>general</v>
      </c>
      <c r="Q112" s="5">
        <v>62.0</v>
      </c>
    </row>
    <row r="113" ht="22.5" customHeight="1">
      <c r="A113" s="6">
        <v>230.0</v>
      </c>
      <c r="B113" s="7" t="s">
        <v>40</v>
      </c>
      <c r="C113" s="8" t="s">
        <v>74</v>
      </c>
      <c r="D113" s="7" t="s">
        <v>60</v>
      </c>
      <c r="E113" s="6">
        <v>3.0</v>
      </c>
      <c r="F113" s="6">
        <v>1.0</v>
      </c>
      <c r="G113" s="6">
        <v>1.0</v>
      </c>
      <c r="H113" s="6">
        <v>2.0</v>
      </c>
      <c r="I113" s="6">
        <v>0.0</v>
      </c>
      <c r="J113" s="6">
        <v>0.0</v>
      </c>
      <c r="K113" s="6">
        <v>0.0</v>
      </c>
      <c r="L113" s="6">
        <f t="shared" si="3"/>
        <v>4</v>
      </c>
      <c r="M113" s="6">
        <v>0.0</v>
      </c>
      <c r="N113" s="9"/>
      <c r="O113" s="10" t="str">
        <f t="shared" si="2"/>
        <v>general</v>
      </c>
      <c r="Q113" s="5">
        <v>63.0</v>
      </c>
    </row>
    <row r="114" ht="22.5" customHeight="1">
      <c r="A114" s="6">
        <v>231.0</v>
      </c>
      <c r="B114" s="7" t="s">
        <v>37</v>
      </c>
      <c r="C114" s="8" t="s">
        <v>73</v>
      </c>
      <c r="D114" s="7" t="s">
        <v>46</v>
      </c>
      <c r="E114" s="6">
        <v>9.0</v>
      </c>
      <c r="F114" s="6">
        <v>1.0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f t="shared" si="3"/>
        <v>1</v>
      </c>
      <c r="M114" s="6">
        <v>115.0</v>
      </c>
      <c r="N114" s="9"/>
      <c r="O114" s="10" t="str">
        <f t="shared" si="2"/>
        <v>postcard</v>
      </c>
      <c r="Q114" s="5">
        <v>64.0</v>
      </c>
    </row>
    <row r="115" ht="22.5" customHeight="1">
      <c r="A115" s="6">
        <v>232.0</v>
      </c>
      <c r="B115" s="7" t="s">
        <v>37</v>
      </c>
      <c r="C115" s="8" t="s">
        <v>68</v>
      </c>
      <c r="D115" s="7" t="s">
        <v>39</v>
      </c>
      <c r="E115" s="6">
        <v>10.0</v>
      </c>
      <c r="F115" s="6">
        <v>1.0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f t="shared" si="3"/>
        <v>1</v>
      </c>
      <c r="M115" s="6">
        <v>114.0</v>
      </c>
      <c r="N115" s="9"/>
      <c r="O115" s="10" t="str">
        <f t="shared" si="2"/>
        <v>postcard</v>
      </c>
      <c r="Q115" s="5">
        <v>65.0</v>
      </c>
    </row>
    <row r="116" ht="22.5" customHeight="1">
      <c r="A116" s="6">
        <v>233.0</v>
      </c>
      <c r="B116" s="7" t="s">
        <v>40</v>
      </c>
      <c r="C116" s="8" t="s">
        <v>54</v>
      </c>
      <c r="D116" s="7" t="s">
        <v>39</v>
      </c>
      <c r="E116" s="6">
        <v>2.0</v>
      </c>
      <c r="F116" s="6">
        <v>1.0</v>
      </c>
      <c r="G116" s="6">
        <v>2.0</v>
      </c>
      <c r="H116" s="6">
        <v>0.0</v>
      </c>
      <c r="I116" s="6">
        <v>1.0</v>
      </c>
      <c r="J116" s="6">
        <v>0.0</v>
      </c>
      <c r="K116" s="6">
        <v>0.0</v>
      </c>
      <c r="L116" s="6">
        <f t="shared" si="3"/>
        <v>4</v>
      </c>
      <c r="M116" s="6">
        <v>0.0</v>
      </c>
      <c r="N116" s="9"/>
      <c r="O116" s="10" t="str">
        <f t="shared" si="2"/>
        <v>general</v>
      </c>
      <c r="Q116" s="5">
        <v>66.0</v>
      </c>
    </row>
    <row r="117" ht="22.5" customHeight="1">
      <c r="A117" s="6">
        <v>234.0</v>
      </c>
      <c r="B117" s="7" t="s">
        <v>40</v>
      </c>
      <c r="C117" s="8" t="s">
        <v>44</v>
      </c>
      <c r="D117" s="7" t="s">
        <v>69</v>
      </c>
      <c r="E117" s="6">
        <v>1.0</v>
      </c>
      <c r="F117" s="6">
        <v>2.0</v>
      </c>
      <c r="G117" s="6">
        <v>1.0</v>
      </c>
      <c r="H117" s="6">
        <v>0.0</v>
      </c>
      <c r="I117" s="6">
        <v>0.0</v>
      </c>
      <c r="J117" s="6">
        <v>1.0</v>
      </c>
      <c r="K117" s="6">
        <v>0.0</v>
      </c>
      <c r="L117" s="6">
        <f t="shared" si="3"/>
        <v>4</v>
      </c>
      <c r="M117" s="6">
        <v>0.0</v>
      </c>
      <c r="N117" s="9"/>
      <c r="O117" s="10" t="str">
        <f t="shared" si="2"/>
        <v>general</v>
      </c>
      <c r="Q117" s="5">
        <v>67.0</v>
      </c>
    </row>
    <row r="118" ht="22.5" customHeight="1">
      <c r="A118" s="6">
        <v>239.0</v>
      </c>
      <c r="B118" s="7" t="s">
        <v>40</v>
      </c>
      <c r="C118" s="8" t="s">
        <v>54</v>
      </c>
      <c r="D118" s="7" t="s">
        <v>30</v>
      </c>
      <c r="E118" s="6">
        <v>5.0</v>
      </c>
      <c r="F118" s="6">
        <v>0.0</v>
      </c>
      <c r="G118" s="6">
        <v>0.0</v>
      </c>
      <c r="H118" s="6">
        <v>2.0</v>
      </c>
      <c r="I118" s="6">
        <v>0.0</v>
      </c>
      <c r="J118" s="6">
        <v>1.0</v>
      </c>
      <c r="K118" s="6">
        <v>0.0</v>
      </c>
      <c r="L118" s="6">
        <f t="shared" si="3"/>
        <v>3</v>
      </c>
      <c r="M118" s="6">
        <v>0.0</v>
      </c>
      <c r="N118" s="9"/>
      <c r="O118" s="10" t="str">
        <f t="shared" si="2"/>
        <v>general</v>
      </c>
      <c r="Q118" s="5">
        <v>68.0</v>
      </c>
    </row>
    <row r="119" ht="22.5" customHeight="1">
      <c r="A119" s="6">
        <v>240.0</v>
      </c>
      <c r="B119" s="7" t="s">
        <v>40</v>
      </c>
      <c r="C119" s="8" t="s">
        <v>18</v>
      </c>
      <c r="D119" s="7" t="s">
        <v>46</v>
      </c>
      <c r="E119" s="6">
        <v>4.0</v>
      </c>
      <c r="F119" s="6">
        <v>0.0</v>
      </c>
      <c r="G119" s="6">
        <v>0.0</v>
      </c>
      <c r="H119" s="6">
        <v>2.0</v>
      </c>
      <c r="I119" s="6">
        <v>0.0</v>
      </c>
      <c r="J119" s="6">
        <v>0.0</v>
      </c>
      <c r="K119" s="6">
        <v>0.0</v>
      </c>
      <c r="L119" s="6">
        <f t="shared" si="3"/>
        <v>2</v>
      </c>
      <c r="M119" s="6">
        <v>0.0</v>
      </c>
      <c r="N119" s="9"/>
      <c r="O119" s="10" t="str">
        <f t="shared" si="2"/>
        <v>general</v>
      </c>
      <c r="Q119" s="5">
        <v>69.0</v>
      </c>
    </row>
    <row r="120" ht="22.5" customHeight="1">
      <c r="A120" s="6">
        <v>241.0</v>
      </c>
      <c r="B120" s="7" t="s">
        <v>40</v>
      </c>
      <c r="C120" s="8" t="s">
        <v>66</v>
      </c>
      <c r="D120" s="7" t="s">
        <v>39</v>
      </c>
      <c r="E120" s="6">
        <v>11.0</v>
      </c>
      <c r="F120" s="6">
        <v>2.0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f t="shared" si="3"/>
        <v>2</v>
      </c>
      <c r="M120" s="6">
        <v>0.0</v>
      </c>
      <c r="N120" s="9"/>
      <c r="O120" s="10" t="str">
        <f t="shared" si="2"/>
        <v>general</v>
      </c>
      <c r="Q120" s="5">
        <v>70.0</v>
      </c>
    </row>
    <row r="121" ht="22.5" customHeight="1">
      <c r="A121" s="6">
        <v>242.0</v>
      </c>
      <c r="B121" s="7" t="s">
        <v>40</v>
      </c>
      <c r="C121" s="8" t="s">
        <v>66</v>
      </c>
      <c r="D121" s="7" t="s">
        <v>33</v>
      </c>
      <c r="E121" s="6">
        <v>8.0</v>
      </c>
      <c r="F121" s="6">
        <v>1.0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f t="shared" si="3"/>
        <v>1</v>
      </c>
      <c r="M121" s="6">
        <v>108.0</v>
      </c>
      <c r="N121" s="9"/>
      <c r="O121" s="10" t="str">
        <f t="shared" si="2"/>
        <v>postcard</v>
      </c>
      <c r="Q121" s="5">
        <v>71.0</v>
      </c>
    </row>
    <row r="122" ht="22.5" customHeight="1">
      <c r="A122" s="6">
        <v>243.0</v>
      </c>
      <c r="B122" s="7" t="s">
        <v>40</v>
      </c>
      <c r="C122" s="8" t="s">
        <v>46</v>
      </c>
      <c r="D122" s="7" t="s">
        <v>39</v>
      </c>
      <c r="E122" s="6">
        <v>1.0</v>
      </c>
      <c r="F122" s="6">
        <v>0.0</v>
      </c>
      <c r="G122" s="6">
        <v>0.0</v>
      </c>
      <c r="H122" s="6">
        <v>0.0</v>
      </c>
      <c r="I122" s="6">
        <v>0.0</v>
      </c>
      <c r="J122" s="6">
        <v>2.0</v>
      </c>
      <c r="K122" s="6">
        <v>0.0</v>
      </c>
      <c r="L122" s="6">
        <f t="shared" si="3"/>
        <v>2</v>
      </c>
      <c r="M122" s="6">
        <v>0.0</v>
      </c>
      <c r="N122" s="9"/>
      <c r="O122" s="10" t="str">
        <f t="shared" si="2"/>
        <v>general</v>
      </c>
      <c r="Q122" s="5">
        <v>72.0</v>
      </c>
    </row>
    <row r="123" ht="22.5" customHeight="1">
      <c r="A123" s="6">
        <v>244.0</v>
      </c>
      <c r="B123" s="7" t="s">
        <v>40</v>
      </c>
      <c r="C123" s="8" t="s">
        <v>58</v>
      </c>
      <c r="D123" s="7" t="s">
        <v>75</v>
      </c>
      <c r="E123" s="6">
        <v>6.0</v>
      </c>
      <c r="F123" s="6">
        <v>0.0</v>
      </c>
      <c r="G123" s="6">
        <v>0.0</v>
      </c>
      <c r="H123" s="6">
        <v>0.0</v>
      </c>
      <c r="I123" s="6">
        <v>1.0</v>
      </c>
      <c r="J123" s="6">
        <v>0.0</v>
      </c>
      <c r="K123" s="6">
        <v>0.0</v>
      </c>
      <c r="L123" s="6">
        <f t="shared" si="3"/>
        <v>1</v>
      </c>
      <c r="M123" s="6">
        <v>102.0</v>
      </c>
      <c r="N123" s="9"/>
      <c r="O123" s="10" t="str">
        <f t="shared" si="2"/>
        <v>postcard</v>
      </c>
      <c r="Q123" s="5">
        <v>73.0</v>
      </c>
    </row>
    <row r="124" ht="22.5" customHeight="1">
      <c r="A124" s="6">
        <v>245.0</v>
      </c>
      <c r="B124" s="7" t="s">
        <v>40</v>
      </c>
      <c r="C124" s="8" t="s">
        <v>48</v>
      </c>
      <c r="D124" s="7" t="s">
        <v>33</v>
      </c>
      <c r="E124" s="6">
        <v>5.0</v>
      </c>
      <c r="F124" s="6">
        <v>0.0</v>
      </c>
      <c r="G124" s="6">
        <v>0.0</v>
      </c>
      <c r="H124" s="6">
        <v>0.0</v>
      </c>
      <c r="I124" s="6">
        <v>1.0</v>
      </c>
      <c r="J124" s="6">
        <v>0.0</v>
      </c>
      <c r="K124" s="6">
        <v>0.0</v>
      </c>
      <c r="L124" s="6">
        <f t="shared" si="3"/>
        <v>1</v>
      </c>
      <c r="M124" s="6">
        <v>111.0</v>
      </c>
      <c r="N124" s="9"/>
      <c r="O124" s="10" t="str">
        <f t="shared" si="2"/>
        <v>postcard</v>
      </c>
      <c r="Q124" s="5">
        <v>74.0</v>
      </c>
    </row>
    <row r="125" ht="22.5" customHeight="1">
      <c r="A125" s="6">
        <v>253.0</v>
      </c>
      <c r="B125" s="7" t="s">
        <v>40</v>
      </c>
      <c r="C125" s="8" t="s">
        <v>74</v>
      </c>
      <c r="D125" s="7" t="s">
        <v>27</v>
      </c>
      <c r="E125" s="6">
        <v>6.0</v>
      </c>
      <c r="F125" s="6">
        <v>0.0</v>
      </c>
      <c r="G125" s="6">
        <v>0.0</v>
      </c>
      <c r="H125" s="6">
        <v>1.0</v>
      </c>
      <c r="I125" s="6">
        <v>0.0</v>
      </c>
      <c r="J125" s="6">
        <v>0.0</v>
      </c>
      <c r="K125" s="6">
        <v>0.0</v>
      </c>
      <c r="L125" s="6">
        <f t="shared" si="3"/>
        <v>1</v>
      </c>
      <c r="M125" s="6">
        <v>109.0</v>
      </c>
      <c r="N125" s="9"/>
      <c r="O125" s="10" t="str">
        <f t="shared" si="2"/>
        <v>postcard</v>
      </c>
      <c r="Q125" s="5">
        <v>75.0</v>
      </c>
    </row>
    <row r="126" ht="22.5" customHeight="1">
      <c r="A126" s="6">
        <v>254.0</v>
      </c>
      <c r="B126" s="7" t="s">
        <v>40</v>
      </c>
      <c r="C126" s="8" t="s">
        <v>64</v>
      </c>
      <c r="D126" s="7" t="s">
        <v>30</v>
      </c>
      <c r="E126" s="6">
        <v>8.0</v>
      </c>
      <c r="F126" s="6">
        <v>0.0</v>
      </c>
      <c r="G126" s="6">
        <v>0.0</v>
      </c>
      <c r="H126" s="6">
        <v>0.0</v>
      </c>
      <c r="I126" s="6">
        <v>0.0</v>
      </c>
      <c r="J126" s="6">
        <v>1.0</v>
      </c>
      <c r="K126" s="6">
        <v>0.0</v>
      </c>
      <c r="L126" s="6">
        <f t="shared" si="3"/>
        <v>1</v>
      </c>
      <c r="M126" s="6">
        <v>103.0</v>
      </c>
      <c r="N126" s="9"/>
      <c r="O126" s="10" t="str">
        <f t="shared" si="2"/>
        <v>postcard</v>
      </c>
      <c r="Q126" s="5">
        <v>76.0</v>
      </c>
    </row>
    <row r="127" ht="22.5" customHeight="1">
      <c r="A127" s="6">
        <v>255.0</v>
      </c>
      <c r="B127" s="7" t="s">
        <v>40</v>
      </c>
      <c r="C127" s="8" t="s">
        <v>56</v>
      </c>
      <c r="D127" s="7" t="s">
        <v>70</v>
      </c>
      <c r="E127" s="6">
        <v>4.0</v>
      </c>
      <c r="F127" s="6">
        <v>0.0</v>
      </c>
      <c r="G127" s="6">
        <v>0.0</v>
      </c>
      <c r="H127" s="6">
        <v>0.0</v>
      </c>
      <c r="I127" s="6">
        <v>0.0</v>
      </c>
      <c r="J127" s="6">
        <v>1.0</v>
      </c>
      <c r="K127" s="6">
        <v>0.0</v>
      </c>
      <c r="L127" s="6">
        <f t="shared" si="3"/>
        <v>1</v>
      </c>
      <c r="M127" s="6">
        <v>104.0</v>
      </c>
      <c r="N127" s="9"/>
      <c r="O127" s="10" t="str">
        <f t="shared" si="2"/>
        <v>postcard</v>
      </c>
      <c r="Q127" s="5">
        <v>77.0</v>
      </c>
    </row>
    <row r="128" ht="22.5" customHeight="1">
      <c r="A128" s="6">
        <v>256.0</v>
      </c>
      <c r="B128" s="7" t="s">
        <v>40</v>
      </c>
      <c r="C128" s="8" t="s">
        <v>23</v>
      </c>
      <c r="D128" s="7" t="s">
        <v>54</v>
      </c>
      <c r="E128" s="6">
        <v>3.0</v>
      </c>
      <c r="F128" s="6">
        <v>0.0</v>
      </c>
      <c r="G128" s="6">
        <v>1.0</v>
      </c>
      <c r="H128" s="6">
        <v>0.0</v>
      </c>
      <c r="I128" s="6">
        <v>0.0</v>
      </c>
      <c r="J128" s="6">
        <v>0.0</v>
      </c>
      <c r="K128" s="6">
        <v>0.0</v>
      </c>
      <c r="L128" s="6">
        <f t="shared" si="3"/>
        <v>1</v>
      </c>
      <c r="M128" s="6">
        <v>107.0</v>
      </c>
      <c r="N128" s="9"/>
      <c r="O128" s="10" t="str">
        <f t="shared" si="2"/>
        <v>postcard</v>
      </c>
      <c r="Q128" s="5">
        <v>78.0</v>
      </c>
    </row>
    <row r="129" ht="22.5" customHeight="1">
      <c r="A129" s="6">
        <v>257.0</v>
      </c>
      <c r="B129" s="7" t="s">
        <v>40</v>
      </c>
      <c r="C129" s="8" t="s">
        <v>56</v>
      </c>
      <c r="D129" s="7" t="s">
        <v>54</v>
      </c>
      <c r="E129" s="6">
        <v>5.0</v>
      </c>
      <c r="F129" s="6">
        <v>0.0</v>
      </c>
      <c r="G129" s="6">
        <v>0.0</v>
      </c>
      <c r="H129" s="6">
        <v>1.0</v>
      </c>
      <c r="I129" s="6">
        <v>0.0</v>
      </c>
      <c r="J129" s="6">
        <v>0.0</v>
      </c>
      <c r="K129" s="6">
        <v>0.0</v>
      </c>
      <c r="L129" s="6">
        <f t="shared" si="3"/>
        <v>1</v>
      </c>
      <c r="M129" s="6">
        <v>101.0</v>
      </c>
      <c r="N129" s="9"/>
      <c r="O129" s="10" t="str">
        <f t="shared" si="2"/>
        <v>postcard</v>
      </c>
      <c r="Q129" s="5">
        <v>79.0</v>
      </c>
    </row>
    <row r="130" ht="22.5" customHeight="1">
      <c r="A130" s="6">
        <v>258.0</v>
      </c>
      <c r="B130" s="7" t="s">
        <v>40</v>
      </c>
      <c r="C130" s="8" t="s">
        <v>18</v>
      </c>
      <c r="D130" s="7" t="s">
        <v>39</v>
      </c>
      <c r="E130" s="6">
        <v>5.0</v>
      </c>
      <c r="F130" s="6">
        <v>1.0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f t="shared" si="3"/>
        <v>1</v>
      </c>
      <c r="M130" s="6">
        <v>105.0</v>
      </c>
      <c r="N130" s="9"/>
      <c r="O130" s="10" t="str">
        <f t="shared" si="2"/>
        <v>postcard</v>
      </c>
      <c r="Q130" s="5">
        <v>80.0</v>
      </c>
    </row>
  </sheetData>
  <dataValidations>
    <dataValidation type="list" allowBlank="1" showDropDown="1" showErrorMessage="1" sqref="D2:D130">
      <formula1>"Detroit,Houston,Jacksonville,Bangor,Savannah,Norfolk,Buffalo,New York,Nashville,Boston,Montréal,Philadelphia,Knoxville,Charleston,Baltimore,Chicago,Fargo,Cincinnati,Charlotte,Miami,Albany,New Orleans,Québec,Atlanta,Pittsburgh,Mobile,Helena,Kansas City,Mon"&amp;"terrey,Santa Fe,Tampa"</formula1>
    </dataValidation>
    <dataValidation type="list" allowBlank="1" showDropDown="1" showErrorMessage="1" sqref="B2:B130">
      <formula1>"Sierra Madre,Open Range,Florida,Haunted Wastes,Badlands,Cascadia,California,Great Plains,Initial"</formula1>
    </dataValidation>
    <dataValidation type="custom" allowBlank="1" showDropDown="1" sqref="A2:A130 E2:M130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5"/>
    <col customWidth="1" min="3" max="3" width="15.88"/>
    <col customWidth="1" min="4" max="4" width="13.75"/>
    <col customWidth="1" min="5" max="5" width="13.0"/>
  </cols>
  <sheetData>
    <row r="1" ht="22.5" customHeight="1">
      <c r="A1" s="1" t="s">
        <v>0</v>
      </c>
      <c r="B1" s="2" t="s">
        <v>89</v>
      </c>
      <c r="C1" s="1" t="s">
        <v>11</v>
      </c>
      <c r="D1" s="1" t="s">
        <v>10</v>
      </c>
      <c r="E1" s="2" t="s">
        <v>90</v>
      </c>
    </row>
    <row r="2" ht="22.5" customHeight="1">
      <c r="A2" s="6">
        <v>29.0</v>
      </c>
      <c r="B2" s="8" t="s">
        <v>91</v>
      </c>
      <c r="C2" s="6">
        <v>0.0</v>
      </c>
      <c r="D2" s="6">
        <v>1.0</v>
      </c>
      <c r="E2" s="6">
        <v>1868.0</v>
      </c>
    </row>
    <row r="3" ht="22.5" customHeight="1">
      <c r="A3" s="6">
        <v>30.0</v>
      </c>
      <c r="B3" s="8" t="s">
        <v>92</v>
      </c>
      <c r="C3" s="6">
        <v>0.0</v>
      </c>
      <c r="D3" s="6">
        <v>1.0</v>
      </c>
      <c r="E3" s="8" t="s">
        <v>93</v>
      </c>
    </row>
    <row r="4" ht="22.5" customHeight="1">
      <c r="A4" s="6">
        <v>31.0</v>
      </c>
      <c r="B4" s="8" t="s">
        <v>94</v>
      </c>
      <c r="C4" s="6">
        <v>0.0</v>
      </c>
      <c r="D4" s="6">
        <v>1.0</v>
      </c>
      <c r="E4" s="8" t="s">
        <v>95</v>
      </c>
    </row>
    <row r="5" ht="22.5" customHeight="1">
      <c r="A5" s="6">
        <v>32.0</v>
      </c>
      <c r="B5" s="8" t="s">
        <v>96</v>
      </c>
      <c r="C5" s="6">
        <v>0.0</v>
      </c>
      <c r="D5" s="6">
        <v>1.0</v>
      </c>
      <c r="E5" s="6">
        <v>1868.0</v>
      </c>
    </row>
    <row r="6" ht="22.5" customHeight="1">
      <c r="A6" s="6">
        <v>74.0</v>
      </c>
      <c r="B6" s="8" t="s">
        <v>97</v>
      </c>
      <c r="C6" s="6">
        <v>0.0</v>
      </c>
      <c r="D6" s="6">
        <v>1.0</v>
      </c>
      <c r="E6" s="6">
        <v>1868.0</v>
      </c>
    </row>
    <row r="7" ht="22.5" customHeight="1">
      <c r="A7" s="6">
        <v>75.0</v>
      </c>
      <c r="B7" s="8" t="s">
        <v>98</v>
      </c>
      <c r="C7" s="6">
        <v>0.0</v>
      </c>
      <c r="D7" s="6">
        <v>1.0</v>
      </c>
      <c r="E7" s="6">
        <v>1868.0</v>
      </c>
    </row>
    <row r="8" ht="22.5" customHeight="1">
      <c r="A8" s="6">
        <v>76.0</v>
      </c>
      <c r="B8" s="8" t="s">
        <v>99</v>
      </c>
      <c r="C8" s="6">
        <v>2.0</v>
      </c>
      <c r="D8" s="6">
        <v>0.0</v>
      </c>
      <c r="E8" s="6">
        <v>1868.0</v>
      </c>
    </row>
    <row r="9" ht="22.5" customHeight="1">
      <c r="A9" s="6">
        <v>77.0</v>
      </c>
      <c r="B9" s="8" t="s">
        <v>100</v>
      </c>
      <c r="C9" s="6">
        <v>0.0</v>
      </c>
      <c r="D9" s="6">
        <v>1.0</v>
      </c>
      <c r="E9" s="6">
        <v>1868.0</v>
      </c>
    </row>
    <row r="10" ht="22.5" customHeight="1">
      <c r="A10" s="6">
        <v>78.0</v>
      </c>
      <c r="B10" s="8" t="s">
        <v>101</v>
      </c>
      <c r="C10" s="6">
        <v>0.0</v>
      </c>
      <c r="D10" s="6">
        <v>1.0</v>
      </c>
      <c r="E10" s="6">
        <v>1895.0</v>
      </c>
    </row>
    <row r="11" ht="22.5" customHeight="1">
      <c r="A11" s="6">
        <v>79.0</v>
      </c>
      <c r="B11" s="8" t="s">
        <v>102</v>
      </c>
      <c r="C11" s="6">
        <v>0.0</v>
      </c>
      <c r="D11" s="6">
        <v>1.0</v>
      </c>
      <c r="E11" s="6">
        <v>1868.0</v>
      </c>
    </row>
    <row r="12" ht="22.5" customHeight="1">
      <c r="A12" s="6">
        <v>80.0</v>
      </c>
      <c r="B12" s="8" t="s">
        <v>103</v>
      </c>
      <c r="C12" s="6">
        <v>2.0</v>
      </c>
      <c r="D12" s="6">
        <v>0.0</v>
      </c>
      <c r="E12" s="6">
        <v>1874.0</v>
      </c>
    </row>
    <row r="13" ht="22.5" customHeight="1">
      <c r="A13" s="6">
        <v>102.0</v>
      </c>
      <c r="B13" s="8" t="s">
        <v>104</v>
      </c>
      <c r="C13" s="6">
        <v>2.0</v>
      </c>
      <c r="D13" s="6">
        <v>0.0</v>
      </c>
      <c r="E13" s="6">
        <v>1892.0</v>
      </c>
    </row>
    <row r="14" ht="22.5" customHeight="1">
      <c r="A14" s="6">
        <v>103.0</v>
      </c>
      <c r="B14" s="8" t="s">
        <v>105</v>
      </c>
      <c r="C14" s="6">
        <v>2.0</v>
      </c>
      <c r="D14" s="6">
        <v>0.0</v>
      </c>
      <c r="E14" s="6">
        <v>1889.0</v>
      </c>
    </row>
    <row r="15" ht="22.5" customHeight="1">
      <c r="A15" s="6">
        <v>128.0</v>
      </c>
      <c r="B15" s="8" t="s">
        <v>106</v>
      </c>
      <c r="C15" s="6">
        <v>2.0</v>
      </c>
      <c r="D15" s="6">
        <v>0.0</v>
      </c>
      <c r="E15" s="6">
        <v>1877.0</v>
      </c>
    </row>
    <row r="16" ht="22.5" customHeight="1">
      <c r="A16" s="6">
        <v>139.0</v>
      </c>
      <c r="B16" s="8" t="s">
        <v>107</v>
      </c>
      <c r="C16" s="6">
        <v>2.0</v>
      </c>
      <c r="D16" s="6">
        <v>0.0</v>
      </c>
      <c r="E16" s="6">
        <v>1883.0</v>
      </c>
    </row>
    <row r="17" ht="22.5" customHeight="1">
      <c r="A17" s="6">
        <v>152.0</v>
      </c>
      <c r="B17" s="8" t="s">
        <v>108</v>
      </c>
      <c r="C17" s="6">
        <v>1.0</v>
      </c>
      <c r="D17" s="6">
        <v>0.0</v>
      </c>
      <c r="E17" s="8" t="s">
        <v>109</v>
      </c>
    </row>
    <row r="18" ht="22.5" customHeight="1">
      <c r="A18" s="6">
        <v>162.0</v>
      </c>
      <c r="B18" s="8" t="s">
        <v>110</v>
      </c>
      <c r="C18" s="6">
        <v>2.0</v>
      </c>
      <c r="D18" s="6">
        <v>0.0</v>
      </c>
      <c r="E18" s="6">
        <v>1880.0</v>
      </c>
    </row>
    <row r="19" ht="22.5" customHeight="1">
      <c r="A19" s="6">
        <v>227.0</v>
      </c>
      <c r="B19" s="8" t="s">
        <v>111</v>
      </c>
      <c r="C19" s="6">
        <v>2.0</v>
      </c>
      <c r="D19" s="6">
        <v>0.0</v>
      </c>
      <c r="E19" s="6">
        <v>1868.0</v>
      </c>
    </row>
  </sheetData>
  <dataValidations>
    <dataValidation type="custom" allowBlank="1" showDropDown="1" sqref="A2:A19 C2:E19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3.38"/>
    <col customWidth="1" min="3" max="3" width="15.75"/>
    <col customWidth="1" min="4" max="4" width="12.75"/>
  </cols>
  <sheetData>
    <row r="1" ht="22.5" customHeight="1">
      <c r="A1" s="1" t="s">
        <v>0</v>
      </c>
      <c r="B1" s="2" t="s">
        <v>89</v>
      </c>
      <c r="C1" s="2" t="s">
        <v>90</v>
      </c>
      <c r="D1" s="1" t="s">
        <v>112</v>
      </c>
      <c r="E1" s="1" t="s">
        <v>10</v>
      </c>
    </row>
    <row r="2" ht="22.5" customHeight="1">
      <c r="A2" s="14">
        <v>55.0</v>
      </c>
      <c r="B2" s="8" t="s">
        <v>113</v>
      </c>
      <c r="C2" s="14">
        <v>1883.0</v>
      </c>
      <c r="D2" s="14">
        <v>0.0</v>
      </c>
      <c r="E2" s="14">
        <v>1.0</v>
      </c>
    </row>
    <row r="3" ht="22.5" customHeight="1">
      <c r="A3" s="14">
        <v>56.0</v>
      </c>
      <c r="B3" s="8" t="s">
        <v>114</v>
      </c>
      <c r="C3" s="8" t="s">
        <v>40</v>
      </c>
      <c r="D3" s="14">
        <v>0.0</v>
      </c>
      <c r="E3" s="14">
        <v>1.0</v>
      </c>
    </row>
    <row r="4" ht="22.5" customHeight="1">
      <c r="A4" s="14">
        <v>57.0</v>
      </c>
      <c r="B4" s="8" t="s">
        <v>115</v>
      </c>
      <c r="C4" s="8" t="s">
        <v>34</v>
      </c>
      <c r="D4" s="14">
        <v>1.0</v>
      </c>
      <c r="E4" s="14">
        <v>1.0</v>
      </c>
    </row>
    <row r="5" ht="22.5" customHeight="1">
      <c r="A5" s="14">
        <v>58.0</v>
      </c>
      <c r="B5" s="8" t="s">
        <v>116</v>
      </c>
      <c r="C5" s="8" t="s">
        <v>34</v>
      </c>
      <c r="D5" s="14">
        <v>0.0</v>
      </c>
      <c r="E5" s="14">
        <v>1.0</v>
      </c>
    </row>
    <row r="6" ht="22.5" customHeight="1">
      <c r="A6" s="14">
        <v>59.0</v>
      </c>
      <c r="B6" s="8" t="s">
        <v>117</v>
      </c>
      <c r="C6" s="8" t="s">
        <v>40</v>
      </c>
      <c r="D6" s="14">
        <v>0.0</v>
      </c>
      <c r="E6" s="14">
        <v>1.0</v>
      </c>
    </row>
    <row r="7" ht="22.5" customHeight="1">
      <c r="A7" s="14">
        <v>60.0</v>
      </c>
      <c r="B7" s="8" t="s">
        <v>118</v>
      </c>
      <c r="C7" s="8" t="s">
        <v>40</v>
      </c>
      <c r="D7" s="14">
        <v>0.0</v>
      </c>
      <c r="E7" s="14">
        <v>1.0</v>
      </c>
    </row>
    <row r="8" ht="22.5" customHeight="1">
      <c r="A8" s="14">
        <v>61.0</v>
      </c>
      <c r="B8" s="8" t="s">
        <v>119</v>
      </c>
      <c r="C8" s="14">
        <v>1880.0</v>
      </c>
      <c r="D8" s="14">
        <v>0.0</v>
      </c>
      <c r="E8" s="14">
        <v>1.0</v>
      </c>
    </row>
    <row r="9" ht="22.5" customHeight="1">
      <c r="A9" s="14">
        <v>62.0</v>
      </c>
      <c r="B9" s="8" t="s">
        <v>120</v>
      </c>
      <c r="C9" s="8" t="s">
        <v>37</v>
      </c>
      <c r="D9" s="14">
        <v>6.0</v>
      </c>
      <c r="E9" s="14">
        <v>0.0</v>
      </c>
    </row>
    <row r="10" ht="22.5" customHeight="1">
      <c r="A10" s="14">
        <v>64.0</v>
      </c>
      <c r="B10" s="8" t="s">
        <v>121</v>
      </c>
      <c r="C10" s="8" t="s">
        <v>25</v>
      </c>
      <c r="D10" s="14">
        <v>5.0</v>
      </c>
      <c r="E10" s="14">
        <v>0.0</v>
      </c>
    </row>
    <row r="11" ht="22.5" customHeight="1">
      <c r="A11" s="14">
        <v>65.0</v>
      </c>
      <c r="B11" s="8" t="s">
        <v>122</v>
      </c>
      <c r="C11" s="14">
        <v>1892.0</v>
      </c>
      <c r="D11" s="14">
        <v>0.0</v>
      </c>
      <c r="E11" s="14">
        <v>0.0</v>
      </c>
    </row>
    <row r="12" ht="22.5" customHeight="1">
      <c r="A12" s="14">
        <v>90.0</v>
      </c>
      <c r="B12" s="8" t="s">
        <v>123</v>
      </c>
      <c r="C12" s="8" t="s">
        <v>34</v>
      </c>
      <c r="D12" s="14">
        <v>2.0</v>
      </c>
      <c r="E12" s="14">
        <v>0.0</v>
      </c>
    </row>
    <row r="13" ht="22.5" customHeight="1">
      <c r="A13" s="14">
        <v>91.0</v>
      </c>
      <c r="B13" s="8" t="s">
        <v>124</v>
      </c>
      <c r="C13" s="14">
        <v>1886.0</v>
      </c>
      <c r="D13" s="14">
        <v>3.0</v>
      </c>
      <c r="E13" s="14">
        <v>0.0</v>
      </c>
    </row>
    <row r="14" ht="22.5" customHeight="1">
      <c r="A14" s="14">
        <v>97.0</v>
      </c>
      <c r="B14" s="8" t="s">
        <v>125</v>
      </c>
      <c r="C14" s="8" t="s">
        <v>34</v>
      </c>
      <c r="D14" s="14">
        <v>2.0</v>
      </c>
      <c r="E14" s="14">
        <v>0.0</v>
      </c>
    </row>
    <row r="15" ht="22.5" customHeight="1">
      <c r="A15" s="14">
        <v>104.0</v>
      </c>
      <c r="B15" s="8" t="s">
        <v>126</v>
      </c>
      <c r="C15" s="14">
        <v>1871.0</v>
      </c>
      <c r="D15" s="14">
        <v>2.0</v>
      </c>
      <c r="E15" s="14">
        <v>0.0</v>
      </c>
    </row>
    <row r="16" ht="22.5" customHeight="1">
      <c r="A16" s="14">
        <v>114.0</v>
      </c>
      <c r="B16" s="8" t="s">
        <v>127</v>
      </c>
      <c r="C16" s="8" t="s">
        <v>34</v>
      </c>
      <c r="D16" s="14">
        <v>2.0</v>
      </c>
      <c r="E16" s="14">
        <v>0.0</v>
      </c>
    </row>
    <row r="17" ht="22.5" customHeight="1">
      <c r="A17" s="14">
        <v>116.0</v>
      </c>
      <c r="B17" s="8" t="s">
        <v>128</v>
      </c>
      <c r="C17" s="14">
        <v>1889.0</v>
      </c>
      <c r="D17" s="14">
        <v>0.0</v>
      </c>
      <c r="E17" s="14">
        <v>0.0</v>
      </c>
    </row>
    <row r="18" ht="22.5" customHeight="1">
      <c r="A18" s="14">
        <v>117.0</v>
      </c>
      <c r="B18" s="8" t="s">
        <v>129</v>
      </c>
      <c r="C18" s="8" t="s">
        <v>28</v>
      </c>
      <c r="D18" s="14">
        <v>3.0</v>
      </c>
      <c r="E18" s="14">
        <v>0.0</v>
      </c>
    </row>
    <row r="19" ht="22.5" customHeight="1">
      <c r="A19" s="14">
        <v>118.0</v>
      </c>
      <c r="B19" s="8" t="s">
        <v>130</v>
      </c>
      <c r="C19" s="14">
        <v>1874.0</v>
      </c>
      <c r="D19" s="14">
        <v>0.0</v>
      </c>
      <c r="E19" s="14">
        <v>0.0</v>
      </c>
    </row>
    <row r="20" ht="22.5" customHeight="1">
      <c r="A20" s="14">
        <v>131.0</v>
      </c>
      <c r="B20" s="8" t="s">
        <v>131</v>
      </c>
      <c r="C20" s="8" t="s">
        <v>37</v>
      </c>
      <c r="D20" s="14">
        <v>3.0</v>
      </c>
      <c r="E20" s="14">
        <v>0.0</v>
      </c>
    </row>
    <row r="21" ht="22.5" customHeight="1">
      <c r="A21" s="14">
        <v>134.0</v>
      </c>
      <c r="B21" s="8" t="s">
        <v>132</v>
      </c>
      <c r="C21" s="8" t="s">
        <v>16</v>
      </c>
      <c r="D21" s="14">
        <v>0.0</v>
      </c>
      <c r="E21" s="14">
        <v>0.0</v>
      </c>
    </row>
    <row r="22" ht="22.5" customHeight="1">
      <c r="A22" s="14">
        <v>138.0</v>
      </c>
      <c r="B22" s="8" t="s">
        <v>133</v>
      </c>
      <c r="C22" s="8" t="s">
        <v>28</v>
      </c>
      <c r="D22" s="14">
        <v>0.0</v>
      </c>
      <c r="E22" s="14">
        <v>0.0</v>
      </c>
    </row>
    <row r="23" ht="22.5" customHeight="1">
      <c r="A23" s="14">
        <v>153.0</v>
      </c>
      <c r="B23" s="8" t="s">
        <v>134</v>
      </c>
      <c r="C23" s="8" t="s">
        <v>16</v>
      </c>
      <c r="D23" s="14">
        <v>0.0</v>
      </c>
      <c r="E23" s="14">
        <v>0.0</v>
      </c>
    </row>
    <row r="24" ht="22.5" customHeight="1">
      <c r="A24" s="14">
        <v>168.0</v>
      </c>
      <c r="B24" s="8" t="s">
        <v>135</v>
      </c>
      <c r="C24" s="8" t="s">
        <v>19</v>
      </c>
      <c r="D24" s="14">
        <v>2.0</v>
      </c>
      <c r="E24" s="14">
        <v>0.0</v>
      </c>
    </row>
    <row r="25" ht="22.5" customHeight="1">
      <c r="A25" s="14">
        <v>170.0</v>
      </c>
      <c r="B25" s="8" t="s">
        <v>136</v>
      </c>
      <c r="C25" s="14">
        <v>1877.0</v>
      </c>
      <c r="D25" s="14">
        <v>2.0</v>
      </c>
      <c r="E25" s="14">
        <v>0.0</v>
      </c>
    </row>
    <row r="26" ht="22.5" customHeight="1">
      <c r="A26" s="14">
        <v>172.0</v>
      </c>
      <c r="B26" s="8" t="s">
        <v>137</v>
      </c>
      <c r="C26" s="8" t="s">
        <v>19</v>
      </c>
      <c r="D26" s="14">
        <v>1.0</v>
      </c>
      <c r="E26" s="14">
        <v>0.0</v>
      </c>
    </row>
    <row r="27" ht="22.5" customHeight="1">
      <c r="A27" s="14">
        <v>179.0</v>
      </c>
      <c r="B27" s="8" t="s">
        <v>138</v>
      </c>
      <c r="C27" s="8" t="s">
        <v>40</v>
      </c>
      <c r="D27" s="14">
        <v>0.0</v>
      </c>
      <c r="E27" s="14">
        <v>0.0</v>
      </c>
    </row>
    <row r="28" ht="22.5" customHeight="1">
      <c r="A28" s="14">
        <v>180.0</v>
      </c>
      <c r="B28" s="8" t="s">
        <v>139</v>
      </c>
      <c r="C28" s="8" t="s">
        <v>19</v>
      </c>
      <c r="D28" s="14">
        <v>0.0</v>
      </c>
      <c r="E28" s="14">
        <v>0.0</v>
      </c>
    </row>
    <row r="29" ht="22.5" customHeight="1">
      <c r="A29" s="14">
        <v>189.0</v>
      </c>
      <c r="B29" s="8" t="s">
        <v>140</v>
      </c>
      <c r="C29" s="8" t="s">
        <v>19</v>
      </c>
      <c r="D29" s="14">
        <v>0.0</v>
      </c>
      <c r="E29" s="14">
        <v>0.0</v>
      </c>
    </row>
    <row r="30" ht="22.5" customHeight="1">
      <c r="A30" s="14">
        <v>209.0</v>
      </c>
      <c r="B30" s="8" t="s">
        <v>141</v>
      </c>
      <c r="C30" s="8" t="s">
        <v>22</v>
      </c>
      <c r="D30" s="14">
        <v>2.0</v>
      </c>
      <c r="E30" s="14">
        <v>0.0</v>
      </c>
    </row>
    <row r="31" ht="22.5" customHeight="1">
      <c r="A31" s="14">
        <v>222.0</v>
      </c>
      <c r="B31" s="8" t="s">
        <v>142</v>
      </c>
      <c r="C31" s="8" t="s">
        <v>22</v>
      </c>
      <c r="D31" s="14">
        <v>5.0</v>
      </c>
      <c r="E31" s="14">
        <v>0.0</v>
      </c>
    </row>
    <row r="32" ht="22.5" customHeight="1">
      <c r="A32" s="14">
        <v>229.0</v>
      </c>
      <c r="B32" s="8" t="s">
        <v>143</v>
      </c>
      <c r="C32" s="8" t="s">
        <v>40</v>
      </c>
      <c r="D32" s="14">
        <v>0.0</v>
      </c>
      <c r="E32" s="14">
        <v>0.0</v>
      </c>
    </row>
    <row r="33" ht="22.5" customHeight="1">
      <c r="A33" s="14">
        <v>238.0</v>
      </c>
      <c r="B33" s="8" t="s">
        <v>144</v>
      </c>
      <c r="C33" s="8" t="s">
        <v>40</v>
      </c>
      <c r="D33" s="14">
        <v>0.0</v>
      </c>
      <c r="E33" s="14">
        <v>0.0</v>
      </c>
    </row>
    <row r="34" ht="22.5" customHeight="1">
      <c r="A34" s="14">
        <v>247.0</v>
      </c>
      <c r="B34" s="8" t="s">
        <v>145</v>
      </c>
      <c r="C34" s="8" t="s">
        <v>40</v>
      </c>
      <c r="D34" s="14">
        <v>0.0</v>
      </c>
      <c r="E34" s="14">
        <v>0.0</v>
      </c>
    </row>
    <row r="35" ht="22.5" customHeight="1">
      <c r="A35" s="14">
        <v>251.0</v>
      </c>
      <c r="B35" s="8" t="s">
        <v>146</v>
      </c>
      <c r="C35" s="8" t="s">
        <v>40</v>
      </c>
      <c r="D35" s="14">
        <v>0.0</v>
      </c>
      <c r="E35" s="14">
        <v>0.0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2.75"/>
  </cols>
  <sheetData>
    <row r="1" ht="22.5" customHeight="1">
      <c r="A1" s="1" t="s">
        <v>0</v>
      </c>
      <c r="B1" s="1" t="s">
        <v>147</v>
      </c>
      <c r="C1" s="1" t="s">
        <v>148</v>
      </c>
      <c r="D1" s="1" t="s">
        <v>112</v>
      </c>
      <c r="E1" s="1" t="s">
        <v>149</v>
      </c>
      <c r="F1" s="1" t="s">
        <v>150</v>
      </c>
    </row>
    <row r="2" ht="22.5" customHeight="1">
      <c r="A2" s="14">
        <v>33.0</v>
      </c>
      <c r="B2" s="14">
        <v>404.0</v>
      </c>
      <c r="C2" s="14">
        <v>0.0</v>
      </c>
      <c r="D2" s="14">
        <v>0.0</v>
      </c>
      <c r="E2" s="9"/>
      <c r="F2" s="9"/>
    </row>
    <row r="3" ht="22.5" customHeight="1">
      <c r="A3" s="14">
        <v>34.0</v>
      </c>
      <c r="B3" s="14">
        <v>403.0</v>
      </c>
      <c r="C3" s="14">
        <v>0.0</v>
      </c>
      <c r="D3" s="14">
        <v>0.0</v>
      </c>
      <c r="E3" s="9"/>
      <c r="F3" s="9"/>
    </row>
    <row r="4" ht="22.5" customHeight="1">
      <c r="A4" s="14">
        <v>35.0</v>
      </c>
      <c r="B4" s="14">
        <v>402.0</v>
      </c>
      <c r="C4" s="14">
        <v>0.0</v>
      </c>
      <c r="D4" s="14">
        <v>0.0</v>
      </c>
      <c r="E4" s="9"/>
      <c r="F4" s="9"/>
    </row>
    <row r="5" ht="22.5" customHeight="1">
      <c r="A5" s="14">
        <v>36.0</v>
      </c>
      <c r="B5" s="14">
        <v>401.0</v>
      </c>
      <c r="C5" s="14">
        <v>0.0</v>
      </c>
      <c r="D5" s="14">
        <v>0.0</v>
      </c>
      <c r="E5" s="9"/>
      <c r="F5" s="9"/>
    </row>
    <row r="6" ht="22.5" customHeight="1">
      <c r="A6" s="14">
        <v>37.0</v>
      </c>
      <c r="B6" s="14">
        <v>400.0</v>
      </c>
      <c r="C6" s="14">
        <v>0.0</v>
      </c>
      <c r="D6" s="14">
        <v>0.0</v>
      </c>
      <c r="E6" s="9"/>
      <c r="F6" s="9"/>
    </row>
    <row r="7" ht="22.5" customHeight="1">
      <c r="A7" s="14">
        <v>38.0</v>
      </c>
      <c r="B7" s="14">
        <v>304.0</v>
      </c>
      <c r="C7" s="14">
        <v>0.0</v>
      </c>
      <c r="D7" s="14">
        <v>0.0</v>
      </c>
      <c r="E7" s="9"/>
      <c r="F7" s="9"/>
    </row>
    <row r="8" ht="22.5" customHeight="1">
      <c r="A8" s="14">
        <v>39.0</v>
      </c>
      <c r="B8" s="14">
        <v>303.0</v>
      </c>
      <c r="C8" s="14">
        <v>0.0</v>
      </c>
      <c r="D8" s="14">
        <v>0.0</v>
      </c>
      <c r="E8" s="9"/>
      <c r="F8" s="9"/>
    </row>
    <row r="9" ht="22.5" customHeight="1">
      <c r="A9" s="14">
        <v>40.0</v>
      </c>
      <c r="B9" s="14">
        <v>302.0</v>
      </c>
      <c r="C9" s="14">
        <v>0.0</v>
      </c>
      <c r="D9" s="14">
        <v>0.0</v>
      </c>
      <c r="E9" s="9"/>
      <c r="F9" s="9"/>
    </row>
    <row r="10" ht="22.5" customHeight="1">
      <c r="A10" s="14">
        <v>41.0</v>
      </c>
      <c r="B10" s="14">
        <v>301.0</v>
      </c>
      <c r="C10" s="14">
        <v>0.0</v>
      </c>
      <c r="D10" s="14">
        <v>0.0</v>
      </c>
      <c r="E10" s="9"/>
      <c r="F10" s="9"/>
    </row>
    <row r="11" ht="22.5" customHeight="1">
      <c r="A11" s="14">
        <v>42.0</v>
      </c>
      <c r="B11" s="14">
        <v>300.0</v>
      </c>
      <c r="C11" s="14">
        <v>0.0</v>
      </c>
      <c r="D11" s="14">
        <v>0.0</v>
      </c>
      <c r="E11" s="9"/>
      <c r="F11" s="9"/>
    </row>
    <row r="12" ht="22.5" customHeight="1">
      <c r="A12" s="14">
        <v>43.0</v>
      </c>
      <c r="B12" s="14">
        <v>144.0</v>
      </c>
      <c r="C12" s="14">
        <v>0.0</v>
      </c>
      <c r="D12" s="14">
        <v>0.0</v>
      </c>
      <c r="E12" s="9"/>
      <c r="F12" s="9"/>
    </row>
    <row r="13" ht="22.5" customHeight="1">
      <c r="A13" s="14">
        <v>44.0</v>
      </c>
      <c r="B13" s="14">
        <v>143.0</v>
      </c>
      <c r="C13" s="14">
        <v>0.0</v>
      </c>
      <c r="D13" s="14">
        <v>0.0</v>
      </c>
      <c r="E13" s="9"/>
      <c r="F13" s="9"/>
    </row>
    <row r="14" ht="22.5" customHeight="1">
      <c r="A14" s="14">
        <v>45.0</v>
      </c>
      <c r="B14" s="14">
        <v>141.0</v>
      </c>
      <c r="C14" s="14">
        <v>0.0</v>
      </c>
      <c r="D14" s="14">
        <v>0.0</v>
      </c>
      <c r="E14" s="9"/>
      <c r="F14" s="9"/>
    </row>
    <row r="15" ht="22.5" customHeight="1">
      <c r="A15" s="14">
        <v>46.0</v>
      </c>
      <c r="B15" s="14">
        <v>136.0</v>
      </c>
      <c r="C15" s="14">
        <v>0.0</v>
      </c>
      <c r="D15" s="14">
        <v>0.0</v>
      </c>
      <c r="E15" s="9"/>
      <c r="F15" s="9"/>
    </row>
    <row r="16" ht="22.5" customHeight="1">
      <c r="A16" s="14">
        <v>47.0</v>
      </c>
      <c r="B16" s="14">
        <v>130.0</v>
      </c>
      <c r="C16" s="14">
        <v>0.0</v>
      </c>
      <c r="D16" s="14">
        <v>0.0</v>
      </c>
      <c r="E16" s="9"/>
      <c r="F16" s="9"/>
    </row>
    <row r="17" ht="22.5" customHeight="1">
      <c r="A17" s="14">
        <v>48.0</v>
      </c>
      <c r="B17" s="14">
        <v>128.0</v>
      </c>
      <c r="C17" s="14">
        <v>0.0</v>
      </c>
      <c r="D17" s="14">
        <v>0.0</v>
      </c>
      <c r="E17" s="9"/>
      <c r="F17" s="9"/>
    </row>
    <row r="18" ht="22.5" customHeight="1">
      <c r="A18" s="14">
        <v>49.0</v>
      </c>
      <c r="B18" s="14">
        <v>123.0</v>
      </c>
      <c r="C18" s="14">
        <v>0.0</v>
      </c>
      <c r="D18" s="14">
        <v>0.0</v>
      </c>
      <c r="E18" s="9"/>
      <c r="F18" s="9"/>
    </row>
    <row r="19" ht="22.5" customHeight="1">
      <c r="A19" s="14">
        <v>50.0</v>
      </c>
      <c r="B19" s="14">
        <v>121.0</v>
      </c>
      <c r="C19" s="14">
        <v>0.0</v>
      </c>
      <c r="D19" s="14">
        <v>0.0</v>
      </c>
      <c r="E19" s="9"/>
      <c r="F19" s="9"/>
    </row>
    <row r="20" ht="22.5" customHeight="1">
      <c r="A20" s="14">
        <v>51.0</v>
      </c>
      <c r="B20" s="14">
        <v>114.0</v>
      </c>
      <c r="C20" s="14">
        <v>0.0</v>
      </c>
      <c r="D20" s="14">
        <v>0.0</v>
      </c>
      <c r="E20" s="9"/>
      <c r="F20" s="9"/>
    </row>
    <row r="21" ht="22.5" customHeight="1">
      <c r="A21" s="14">
        <v>52.0</v>
      </c>
      <c r="B21" s="14">
        <v>101.0</v>
      </c>
      <c r="C21" s="14">
        <v>0.0</v>
      </c>
      <c r="D21" s="14">
        <v>0.0</v>
      </c>
      <c r="E21" s="9"/>
      <c r="F21" s="9"/>
    </row>
    <row r="22" ht="22.5" customHeight="1">
      <c r="A22" s="14">
        <v>53.0</v>
      </c>
      <c r="B22" s="14">
        <v>500.0</v>
      </c>
      <c r="C22" s="14">
        <v>0.0</v>
      </c>
      <c r="D22" s="14">
        <v>0.0</v>
      </c>
      <c r="E22" s="9"/>
      <c r="F22" s="9"/>
    </row>
    <row r="23" ht="22.5" customHeight="1">
      <c r="A23" s="14">
        <v>54.0</v>
      </c>
      <c r="B23" s="14">
        <v>1.0</v>
      </c>
      <c r="C23" s="14">
        <v>0.0</v>
      </c>
      <c r="D23" s="14">
        <v>0.0</v>
      </c>
      <c r="E23" s="9"/>
      <c r="F23" s="9"/>
    </row>
    <row r="24" ht="22.5" customHeight="1">
      <c r="A24" s="14">
        <v>63.0</v>
      </c>
      <c r="B24" s="14">
        <v>127.0</v>
      </c>
      <c r="C24" s="14">
        <v>1.0</v>
      </c>
      <c r="D24" s="14">
        <v>3.0</v>
      </c>
      <c r="E24" s="14">
        <v>6.0</v>
      </c>
      <c r="F24" s="9"/>
    </row>
    <row r="25" ht="22.5" customHeight="1">
      <c r="A25" s="14">
        <v>66.0</v>
      </c>
      <c r="B25" s="14">
        <v>140.0</v>
      </c>
      <c r="C25" s="14">
        <v>1.0</v>
      </c>
      <c r="D25" s="14">
        <v>0.0</v>
      </c>
      <c r="E25" s="14">
        <v>6.0</v>
      </c>
      <c r="F25" s="11" t="s">
        <v>151</v>
      </c>
    </row>
    <row r="26" ht="22.5" customHeight="1">
      <c r="A26" s="14">
        <v>67.0</v>
      </c>
      <c r="B26" s="14">
        <v>109.0</v>
      </c>
      <c r="C26" s="14">
        <v>1.0</v>
      </c>
      <c r="D26" s="14">
        <v>0.0</v>
      </c>
      <c r="E26" s="14">
        <v>12.0</v>
      </c>
      <c r="F26" s="11" t="s">
        <v>151</v>
      </c>
    </row>
    <row r="27" ht="22.5" customHeight="1">
      <c r="A27" s="14">
        <v>68.0</v>
      </c>
      <c r="B27" s="14">
        <v>119.0</v>
      </c>
      <c r="C27" s="14">
        <v>1.0</v>
      </c>
      <c r="D27" s="14">
        <v>0.0</v>
      </c>
      <c r="E27" s="8" t="s">
        <v>152</v>
      </c>
      <c r="F27" s="11" t="s">
        <v>151</v>
      </c>
    </row>
    <row r="28" ht="22.5" customHeight="1">
      <c r="A28" s="14">
        <v>82.0</v>
      </c>
      <c r="B28" s="14">
        <v>104.0</v>
      </c>
      <c r="C28" s="14">
        <v>1.0</v>
      </c>
      <c r="D28" s="14">
        <v>0.0</v>
      </c>
      <c r="E28" s="14">
        <v>6.0</v>
      </c>
      <c r="F28" s="11" t="s">
        <v>153</v>
      </c>
    </row>
    <row r="29" ht="22.5" customHeight="1">
      <c r="A29" s="14">
        <v>92.0</v>
      </c>
      <c r="B29" s="14">
        <v>204.0</v>
      </c>
      <c r="C29" s="14">
        <v>1.0</v>
      </c>
      <c r="D29" s="14">
        <v>0.0</v>
      </c>
      <c r="E29" s="14">
        <v>40.0</v>
      </c>
      <c r="F29" s="11" t="s">
        <v>153</v>
      </c>
    </row>
    <row r="30" ht="22.5" customHeight="1">
      <c r="A30" s="14">
        <v>93.0</v>
      </c>
      <c r="B30" s="14">
        <v>203.0</v>
      </c>
      <c r="C30" s="14">
        <v>1.0</v>
      </c>
      <c r="D30" s="11">
        <v>0.0</v>
      </c>
      <c r="E30" s="9"/>
      <c r="F30" s="9"/>
    </row>
    <row r="31" ht="22.5" customHeight="1">
      <c r="A31" s="14">
        <v>94.0</v>
      </c>
      <c r="B31" s="14">
        <v>202.0</v>
      </c>
      <c r="C31" s="14">
        <v>1.0</v>
      </c>
      <c r="D31" s="11">
        <v>0.0</v>
      </c>
      <c r="E31" s="9"/>
      <c r="F31" s="9"/>
    </row>
    <row r="32" ht="22.5" customHeight="1">
      <c r="A32" s="14">
        <v>95.0</v>
      </c>
      <c r="B32" s="14">
        <v>201.0</v>
      </c>
      <c r="C32" s="14">
        <v>1.0</v>
      </c>
      <c r="D32" s="11">
        <v>0.0</v>
      </c>
      <c r="E32" s="9"/>
      <c r="F32" s="9"/>
    </row>
    <row r="33" ht="22.5" customHeight="1">
      <c r="A33" s="14">
        <v>96.0</v>
      </c>
      <c r="B33" s="14">
        <v>200.0</v>
      </c>
      <c r="C33" s="14">
        <v>1.0</v>
      </c>
      <c r="D33" s="11">
        <v>0.0</v>
      </c>
      <c r="E33" s="9"/>
      <c r="F33" s="9"/>
    </row>
    <row r="34" ht="22.5" customHeight="1">
      <c r="A34" s="14">
        <v>101.0</v>
      </c>
      <c r="B34" s="14">
        <v>133.0</v>
      </c>
      <c r="C34" s="14">
        <v>1.0</v>
      </c>
      <c r="D34" s="14">
        <v>0.0</v>
      </c>
      <c r="E34" s="14">
        <v>6.0</v>
      </c>
      <c r="F34" s="9"/>
    </row>
    <row r="35" ht="22.5" customHeight="1">
      <c r="A35" s="14">
        <v>111.0</v>
      </c>
      <c r="B35" s="14">
        <v>126.0</v>
      </c>
      <c r="C35" s="14">
        <v>1.0</v>
      </c>
      <c r="D35" s="14">
        <v>0.0</v>
      </c>
      <c r="E35" s="14">
        <v>6.0</v>
      </c>
      <c r="F35" s="9"/>
    </row>
    <row r="36" ht="22.5" customHeight="1">
      <c r="A36" s="14">
        <v>169.0</v>
      </c>
      <c r="B36" s="14">
        <v>108.0</v>
      </c>
      <c r="C36" s="14">
        <v>1.0</v>
      </c>
      <c r="D36" s="14">
        <v>2.0</v>
      </c>
      <c r="E36" s="14">
        <v>6.0</v>
      </c>
      <c r="F36" s="9"/>
    </row>
    <row r="37" ht="22.5" customHeight="1">
      <c r="A37" s="14">
        <v>171.0</v>
      </c>
      <c r="B37" s="14">
        <v>117.0</v>
      </c>
      <c r="C37" s="14">
        <v>1.0</v>
      </c>
      <c r="D37" s="14">
        <v>0.0</v>
      </c>
      <c r="E37" s="14">
        <v>6.0</v>
      </c>
      <c r="F37" s="9"/>
    </row>
    <row r="38" ht="22.5" customHeight="1">
      <c r="A38" s="14">
        <v>190.0</v>
      </c>
      <c r="B38" s="14">
        <v>405.0</v>
      </c>
      <c r="C38" s="14">
        <v>1.0</v>
      </c>
      <c r="D38" s="11">
        <v>0.0</v>
      </c>
      <c r="E38" s="9"/>
      <c r="F38" s="9"/>
    </row>
    <row r="39" ht="22.5" customHeight="1">
      <c r="A39" s="14">
        <v>208.0</v>
      </c>
      <c r="B39" s="14">
        <v>122.0</v>
      </c>
      <c r="C39" s="14">
        <v>1.0</v>
      </c>
      <c r="D39" s="11">
        <v>0.0</v>
      </c>
      <c r="E39" s="14">
        <v>6.0</v>
      </c>
      <c r="F39" s="9"/>
    </row>
    <row r="40" ht="22.5" customHeight="1">
      <c r="A40" s="14">
        <v>248.0</v>
      </c>
      <c r="B40" s="14">
        <v>111.0</v>
      </c>
      <c r="C40" s="14">
        <v>1.0</v>
      </c>
      <c r="D40" s="14">
        <v>0.0</v>
      </c>
      <c r="E40" s="14">
        <v>6.0</v>
      </c>
      <c r="F40" s="9"/>
    </row>
    <row r="41" ht="22.5" customHeight="1">
      <c r="A41" s="14">
        <v>249.0</v>
      </c>
      <c r="B41" s="14">
        <v>110.0</v>
      </c>
      <c r="C41" s="14">
        <v>1.0</v>
      </c>
      <c r="D41" s="14">
        <v>0.0</v>
      </c>
      <c r="E41" s="14">
        <v>6.0</v>
      </c>
      <c r="F41" s="9"/>
    </row>
    <row r="42" ht="22.5" customHeight="1">
      <c r="A42" s="15">
        <v>0.0</v>
      </c>
      <c r="B42" s="15">
        <v>116.0</v>
      </c>
      <c r="C42" s="15">
        <v>1.0</v>
      </c>
      <c r="D42" s="15">
        <v>0.0</v>
      </c>
      <c r="E42" s="15">
        <v>12.0</v>
      </c>
      <c r="F42" s="16" t="s">
        <v>154</v>
      </c>
    </row>
    <row r="43" ht="22.5" customHeight="1">
      <c r="A43" s="15">
        <v>0.0</v>
      </c>
      <c r="B43" s="15">
        <v>142.0</v>
      </c>
      <c r="C43" s="15">
        <v>1.0</v>
      </c>
      <c r="D43" s="15">
        <v>0.0</v>
      </c>
      <c r="E43" s="15">
        <v>12.0</v>
      </c>
      <c r="F43" s="16" t="s">
        <v>154</v>
      </c>
    </row>
    <row r="44" ht="22.5" customHeight="1">
      <c r="A44" s="15">
        <v>0.0</v>
      </c>
      <c r="B44" s="15">
        <v>124.0</v>
      </c>
      <c r="C44" s="15">
        <v>1.0</v>
      </c>
      <c r="D44" s="15">
        <v>0.0</v>
      </c>
      <c r="E44" s="15">
        <v>12.0</v>
      </c>
      <c r="F44" s="16" t="s">
        <v>154</v>
      </c>
    </row>
    <row r="45" ht="22.5" customHeight="1">
      <c r="A45" s="15">
        <v>0.0</v>
      </c>
      <c r="B45" s="15">
        <v>102.0</v>
      </c>
      <c r="C45" s="15">
        <v>1.0</v>
      </c>
      <c r="D45" s="15">
        <v>1.0</v>
      </c>
      <c r="E45" s="15">
        <v>6.0</v>
      </c>
      <c r="F45" s="16" t="s">
        <v>154</v>
      </c>
    </row>
    <row r="46" ht="22.5" customHeight="1">
      <c r="A46" s="15">
        <v>0.0</v>
      </c>
      <c r="B46" s="15">
        <v>135.0</v>
      </c>
      <c r="C46" s="15">
        <v>1.0</v>
      </c>
      <c r="D46" s="15">
        <v>0.0</v>
      </c>
      <c r="E46" s="15">
        <v>6.0</v>
      </c>
      <c r="F46" s="16" t="s">
        <v>154</v>
      </c>
    </row>
    <row r="47" ht="22.5" customHeight="1">
      <c r="A47" s="15">
        <v>0.0</v>
      </c>
      <c r="B47" s="15">
        <v>132.0</v>
      </c>
      <c r="C47" s="15">
        <v>1.0</v>
      </c>
      <c r="D47" s="15">
        <v>0.0</v>
      </c>
      <c r="E47" s="15">
        <v>6.0</v>
      </c>
      <c r="F47" s="16" t="s">
        <v>155</v>
      </c>
    </row>
    <row r="48" ht="22.5" customHeight="1">
      <c r="A48" s="15">
        <v>0.0</v>
      </c>
      <c r="B48" s="15">
        <v>137.0</v>
      </c>
      <c r="C48" s="15">
        <v>1.0</v>
      </c>
      <c r="D48" s="15">
        <v>0.0</v>
      </c>
      <c r="E48" s="15">
        <v>12.0</v>
      </c>
      <c r="F48" s="16" t="s">
        <v>155</v>
      </c>
    </row>
    <row r="49" ht="22.5" customHeight="1">
      <c r="A49" s="15">
        <v>0.0</v>
      </c>
      <c r="B49" s="15">
        <v>103.0</v>
      </c>
      <c r="C49" s="15">
        <v>1.0</v>
      </c>
      <c r="D49" s="15">
        <v>0.0</v>
      </c>
      <c r="E49" s="15">
        <v>12.0</v>
      </c>
      <c r="F49" s="16" t="s">
        <v>155</v>
      </c>
    </row>
    <row r="50" ht="22.5" customHeight="1">
      <c r="A50" s="15">
        <v>0.0</v>
      </c>
      <c r="B50" s="15">
        <v>138.0</v>
      </c>
      <c r="C50" s="15">
        <v>1.0</v>
      </c>
      <c r="D50" s="15">
        <v>0.0</v>
      </c>
      <c r="E50" s="15">
        <v>12.0</v>
      </c>
      <c r="F50" s="16" t="s">
        <v>155</v>
      </c>
    </row>
    <row r="51" ht="22.5" customHeight="1">
      <c r="A51" s="15">
        <v>0.0</v>
      </c>
      <c r="B51" s="15">
        <v>113.0</v>
      </c>
      <c r="C51" s="15">
        <v>1.0</v>
      </c>
      <c r="D51" s="15">
        <v>0.0</v>
      </c>
      <c r="E51" s="15">
        <v>18.0</v>
      </c>
      <c r="F51" s="16" t="s">
        <v>155</v>
      </c>
    </row>
    <row r="52" ht="22.5" customHeight="1">
      <c r="A52" s="15">
        <v>0.0</v>
      </c>
      <c r="B52" s="15">
        <v>112.0</v>
      </c>
      <c r="C52" s="15">
        <v>1.0</v>
      </c>
      <c r="D52" s="15">
        <v>0.0</v>
      </c>
      <c r="E52" s="15">
        <v>12.0</v>
      </c>
      <c r="F52" s="16" t="s">
        <v>155</v>
      </c>
    </row>
    <row r="53" ht="22.5" customHeight="1">
      <c r="A53" s="15">
        <v>0.0</v>
      </c>
      <c r="B53" s="15">
        <v>134.0</v>
      </c>
      <c r="C53" s="15">
        <v>1.0</v>
      </c>
      <c r="D53" s="15"/>
      <c r="E53" s="15">
        <v>12.0</v>
      </c>
      <c r="F53" s="16" t="s">
        <v>153</v>
      </c>
    </row>
    <row r="54" ht="22.5" customHeight="1">
      <c r="A54" s="15">
        <v>0.0</v>
      </c>
      <c r="B54" s="15">
        <v>139.0</v>
      </c>
      <c r="C54" s="15">
        <v>1.0</v>
      </c>
      <c r="D54" s="15">
        <v>0.0</v>
      </c>
      <c r="E54" s="15">
        <v>6.0</v>
      </c>
      <c r="F54" s="16" t="s">
        <v>153</v>
      </c>
    </row>
    <row r="55" ht="22.5" customHeight="1">
      <c r="A55" s="15">
        <v>0.0</v>
      </c>
      <c r="B55" s="15">
        <v>118.0</v>
      </c>
      <c r="C55" s="15">
        <v>1.0</v>
      </c>
      <c r="D55" s="15">
        <v>0.0</v>
      </c>
      <c r="E55" s="15">
        <v>12.0</v>
      </c>
      <c r="F55" s="16" t="s">
        <v>153</v>
      </c>
    </row>
    <row r="56" ht="22.5" customHeight="1">
      <c r="A56" s="15">
        <v>0.0</v>
      </c>
      <c r="B56" s="15">
        <v>107.0</v>
      </c>
      <c r="C56" s="15">
        <v>1.0</v>
      </c>
      <c r="D56" s="15">
        <v>0.0</v>
      </c>
      <c r="E56" s="15">
        <v>6.0</v>
      </c>
      <c r="F56" s="16" t="s">
        <v>153</v>
      </c>
    </row>
    <row r="57" ht="22.5" customHeight="1">
      <c r="A57" s="15">
        <v>0.0</v>
      </c>
      <c r="B57" s="15">
        <v>106.0</v>
      </c>
      <c r="C57" s="15">
        <v>1.0</v>
      </c>
      <c r="D57" s="15">
        <v>0.0</v>
      </c>
      <c r="E57" s="15">
        <v>12.0</v>
      </c>
      <c r="F57" s="16" t="s">
        <v>153</v>
      </c>
    </row>
    <row r="58" ht="22.5" customHeight="1">
      <c r="A58" s="15">
        <v>0.0</v>
      </c>
      <c r="B58" s="15">
        <v>120.0</v>
      </c>
      <c r="C58" s="15">
        <v>1.0</v>
      </c>
      <c r="D58" s="15">
        <v>0.0</v>
      </c>
      <c r="E58" s="15">
        <v>6.0</v>
      </c>
      <c r="F58" s="16" t="s">
        <v>156</v>
      </c>
    </row>
    <row r="59" ht="22.5" customHeight="1">
      <c r="A59" s="15">
        <v>0.0</v>
      </c>
      <c r="B59" s="15">
        <v>105.0</v>
      </c>
      <c r="C59" s="15">
        <v>1.0</v>
      </c>
      <c r="D59" s="15">
        <v>1.0</v>
      </c>
      <c r="E59" s="15">
        <v>6.0</v>
      </c>
      <c r="F59" s="16" t="s">
        <v>156</v>
      </c>
    </row>
    <row r="60" ht="22.5" customHeight="1">
      <c r="A60" s="15">
        <v>0.0</v>
      </c>
      <c r="B60" s="15">
        <v>129.0</v>
      </c>
      <c r="C60" s="15">
        <v>1.0</v>
      </c>
      <c r="D60" s="15">
        <v>0.0</v>
      </c>
      <c r="E60" s="15">
        <v>6.0</v>
      </c>
      <c r="F60" s="16" t="s">
        <v>156</v>
      </c>
    </row>
    <row r="61" ht="22.5" customHeight="1">
      <c r="A61" s="15">
        <v>0.0</v>
      </c>
      <c r="B61" s="15">
        <v>115.0</v>
      </c>
      <c r="C61" s="15">
        <v>1.0</v>
      </c>
      <c r="D61" s="15">
        <v>0.0</v>
      </c>
      <c r="E61" s="15">
        <v>12.0</v>
      </c>
      <c r="F61" s="16" t="s">
        <v>156</v>
      </c>
    </row>
    <row r="62" ht="22.5" customHeight="1">
      <c r="A62" s="15">
        <v>0.0</v>
      </c>
      <c r="B62" s="15">
        <v>131.0</v>
      </c>
      <c r="C62" s="15">
        <v>1.0</v>
      </c>
      <c r="D62" s="15">
        <v>0.0</v>
      </c>
      <c r="E62" s="15">
        <v>6.0</v>
      </c>
      <c r="F62" s="16" t="s">
        <v>156</v>
      </c>
    </row>
    <row r="63" ht="22.5" customHeight="1">
      <c r="A63" s="15">
        <v>0.0</v>
      </c>
      <c r="B63" s="15">
        <v>125.0</v>
      </c>
      <c r="C63" s="15">
        <v>1.0</v>
      </c>
      <c r="D63" s="15">
        <v>0.0</v>
      </c>
      <c r="E63" s="15">
        <v>12.0</v>
      </c>
      <c r="F63" s="16" t="s">
        <v>156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38"/>
  </cols>
  <sheetData>
    <row r="1" ht="22.5" customHeight="1">
      <c r="A1" s="1" t="s">
        <v>0</v>
      </c>
      <c r="B1" s="1" t="s">
        <v>89</v>
      </c>
      <c r="C1" s="2" t="s">
        <v>157</v>
      </c>
      <c r="D1" s="1" t="s">
        <v>158</v>
      </c>
    </row>
    <row r="2" ht="22.5" customHeight="1">
      <c r="A2" s="6">
        <v>81.0</v>
      </c>
      <c r="B2" s="8" t="s">
        <v>159</v>
      </c>
      <c r="C2" s="6">
        <v>1901.0</v>
      </c>
      <c r="D2" s="9"/>
    </row>
    <row r="3" ht="22.5" customHeight="1">
      <c r="A3" s="6">
        <v>83.0</v>
      </c>
      <c r="B3" s="8" t="s">
        <v>160</v>
      </c>
      <c r="C3" s="6">
        <v>1898.0</v>
      </c>
      <c r="D3" s="9"/>
    </row>
    <row r="4" ht="22.5" customHeight="1">
      <c r="A4" s="6">
        <v>89.0</v>
      </c>
      <c r="B4" s="8" t="s">
        <v>161</v>
      </c>
      <c r="C4" s="6">
        <v>1898.0</v>
      </c>
      <c r="D4" s="9"/>
    </row>
    <row r="5" ht="22.5" customHeight="1">
      <c r="A5" s="6">
        <v>98.0</v>
      </c>
      <c r="B5" s="8" t="s">
        <v>160</v>
      </c>
      <c r="C5" s="6">
        <v>1895.0</v>
      </c>
      <c r="D5" s="9"/>
    </row>
    <row r="6" ht="22.5" customHeight="1">
      <c r="A6" s="6">
        <v>112.0</v>
      </c>
      <c r="B6" s="8" t="s">
        <v>161</v>
      </c>
      <c r="C6" s="6">
        <v>1895.0</v>
      </c>
      <c r="D6" s="9"/>
    </row>
    <row r="7" ht="22.5" customHeight="1">
      <c r="A7" s="6">
        <v>113.0</v>
      </c>
      <c r="B7" s="8" t="s">
        <v>95</v>
      </c>
      <c r="C7" s="17"/>
      <c r="D7" s="8" t="s">
        <v>95</v>
      </c>
    </row>
    <row r="8" ht="22.5" customHeight="1">
      <c r="A8" s="6">
        <v>115.0</v>
      </c>
      <c r="B8" s="8" t="s">
        <v>160</v>
      </c>
      <c r="C8" s="6">
        <v>1892.0</v>
      </c>
      <c r="D8" s="9"/>
    </row>
    <row r="9" ht="22.5" customHeight="1">
      <c r="A9" s="6">
        <v>119.0</v>
      </c>
      <c r="B9" s="8" t="s">
        <v>162</v>
      </c>
      <c r="C9" s="6"/>
      <c r="D9" s="8" t="s">
        <v>163</v>
      </c>
    </row>
    <row r="10" ht="22.5" customHeight="1">
      <c r="A10" s="6">
        <v>120.0</v>
      </c>
      <c r="B10" s="8" t="s">
        <v>160</v>
      </c>
      <c r="C10" s="6">
        <v>1877.0</v>
      </c>
      <c r="D10" s="9"/>
    </row>
    <row r="11" ht="22.5" customHeight="1">
      <c r="A11" s="6">
        <v>132.0</v>
      </c>
      <c r="B11" s="8" t="s">
        <v>161</v>
      </c>
      <c r="C11" s="6">
        <v>1892.0</v>
      </c>
      <c r="D11" s="9"/>
    </row>
    <row r="12" ht="22.5" customHeight="1">
      <c r="A12" s="6">
        <v>133.0</v>
      </c>
      <c r="B12" s="8" t="s">
        <v>164</v>
      </c>
      <c r="C12" s="17"/>
      <c r="D12" s="8" t="s">
        <v>164</v>
      </c>
    </row>
    <row r="13" ht="22.5" customHeight="1">
      <c r="A13" s="6">
        <v>136.0</v>
      </c>
      <c r="B13" s="8" t="s">
        <v>165</v>
      </c>
      <c r="C13" s="6"/>
      <c r="D13" s="8" t="s">
        <v>166</v>
      </c>
    </row>
    <row r="14" ht="22.5" customHeight="1">
      <c r="A14" s="6">
        <v>137.0</v>
      </c>
      <c r="B14" s="8" t="s">
        <v>160</v>
      </c>
      <c r="C14" s="6">
        <v>1889.0</v>
      </c>
      <c r="D14" s="9"/>
    </row>
    <row r="15" ht="22.5" customHeight="1">
      <c r="A15" s="6">
        <v>154.0</v>
      </c>
      <c r="B15" s="8" t="s">
        <v>167</v>
      </c>
      <c r="C15" s="6"/>
      <c r="D15" s="8" t="s">
        <v>166</v>
      </c>
    </row>
    <row r="16" ht="22.5" customHeight="1">
      <c r="A16" s="6">
        <v>155.0</v>
      </c>
      <c r="B16" s="8" t="s">
        <v>168</v>
      </c>
      <c r="C16" s="17"/>
      <c r="D16" s="8" t="s">
        <v>168</v>
      </c>
    </row>
    <row r="17" ht="22.5" customHeight="1">
      <c r="A17" s="6">
        <v>156.0</v>
      </c>
      <c r="B17" s="8" t="s">
        <v>161</v>
      </c>
      <c r="C17" s="6">
        <v>1889.0</v>
      </c>
      <c r="D17" s="9"/>
    </row>
    <row r="18" ht="22.5" customHeight="1">
      <c r="A18" s="6">
        <v>157.0</v>
      </c>
      <c r="B18" s="8" t="s">
        <v>169</v>
      </c>
      <c r="C18" s="6"/>
      <c r="D18" s="9"/>
    </row>
    <row r="19" ht="22.5" customHeight="1">
      <c r="A19" s="6">
        <v>158.0</v>
      </c>
      <c r="B19" s="8" t="s">
        <v>169</v>
      </c>
      <c r="C19" s="6"/>
      <c r="D19" s="9"/>
    </row>
    <row r="20" ht="22.5" customHeight="1">
      <c r="A20" s="6">
        <v>159.0</v>
      </c>
      <c r="B20" s="8" t="s">
        <v>169</v>
      </c>
      <c r="C20" s="6"/>
      <c r="D20" s="9"/>
    </row>
    <row r="21" ht="22.5" customHeight="1">
      <c r="A21" s="6">
        <v>160.0</v>
      </c>
      <c r="B21" s="8" t="s">
        <v>160</v>
      </c>
      <c r="C21" s="6">
        <v>1886.0</v>
      </c>
      <c r="D21" s="9"/>
    </row>
    <row r="22" ht="22.5" customHeight="1">
      <c r="A22" s="6">
        <v>173.0</v>
      </c>
      <c r="B22" s="8" t="s">
        <v>161</v>
      </c>
      <c r="C22" s="6">
        <v>1886.0</v>
      </c>
      <c r="D22" s="9"/>
    </row>
    <row r="23" ht="22.5" customHeight="1">
      <c r="A23" s="6">
        <v>174.0</v>
      </c>
      <c r="B23" s="8" t="s">
        <v>170</v>
      </c>
      <c r="C23" s="6"/>
      <c r="D23" s="8" t="s">
        <v>171</v>
      </c>
    </row>
    <row r="24" ht="22.5" customHeight="1">
      <c r="A24" s="6">
        <v>175.0</v>
      </c>
      <c r="B24" s="8" t="s">
        <v>160</v>
      </c>
      <c r="C24" s="6">
        <v>1883.0</v>
      </c>
      <c r="D24" s="9"/>
    </row>
    <row r="25" ht="22.5" customHeight="1">
      <c r="A25" s="6">
        <v>191.0</v>
      </c>
      <c r="B25" s="8" t="s">
        <v>172</v>
      </c>
      <c r="C25" s="6"/>
      <c r="D25" s="8" t="s">
        <v>163</v>
      </c>
    </row>
    <row r="26" ht="22.5" customHeight="1">
      <c r="A26" s="6">
        <v>192.0</v>
      </c>
      <c r="B26" s="8" t="s">
        <v>173</v>
      </c>
      <c r="C26" s="6"/>
      <c r="D26" s="9"/>
    </row>
    <row r="27" ht="22.5" customHeight="1">
      <c r="A27" s="6">
        <v>193.0</v>
      </c>
      <c r="B27" s="8" t="s">
        <v>166</v>
      </c>
      <c r="C27" s="6"/>
      <c r="D27" s="8" t="s">
        <v>166</v>
      </c>
    </row>
    <row r="28" ht="22.5" customHeight="1">
      <c r="A28" s="6">
        <v>194.0</v>
      </c>
      <c r="B28" s="8" t="s">
        <v>160</v>
      </c>
      <c r="C28" s="6">
        <v>1880.0</v>
      </c>
      <c r="D28" s="9"/>
    </row>
    <row r="29" ht="22.5" customHeight="1">
      <c r="A29" s="6">
        <v>198.0</v>
      </c>
      <c r="B29" s="8" t="s">
        <v>161</v>
      </c>
      <c r="C29" s="6">
        <v>1883.0</v>
      </c>
      <c r="D29" s="9"/>
    </row>
    <row r="30" ht="22.5" customHeight="1">
      <c r="A30" s="6">
        <v>210.0</v>
      </c>
      <c r="B30" s="8" t="s">
        <v>161</v>
      </c>
      <c r="C30" s="6">
        <v>1880.0</v>
      </c>
      <c r="D30" s="9"/>
    </row>
    <row r="31" ht="22.5" customHeight="1">
      <c r="A31" s="6">
        <v>223.0</v>
      </c>
      <c r="B31" s="8" t="s">
        <v>161</v>
      </c>
      <c r="C31" s="6">
        <v>1877.0</v>
      </c>
      <c r="D31" s="9"/>
    </row>
    <row r="32" ht="22.5" customHeight="1">
      <c r="A32" s="6">
        <v>224.0</v>
      </c>
      <c r="B32" s="8" t="s">
        <v>174</v>
      </c>
      <c r="C32" s="17"/>
      <c r="D32" s="8" t="s">
        <v>174</v>
      </c>
    </row>
    <row r="33" ht="22.5" customHeight="1">
      <c r="A33" s="6">
        <v>228.0</v>
      </c>
      <c r="B33" s="8" t="s">
        <v>160</v>
      </c>
      <c r="C33" s="6">
        <v>1874.0</v>
      </c>
      <c r="D33" s="9"/>
    </row>
    <row r="34" ht="22.5" customHeight="1">
      <c r="A34" s="6">
        <v>235.0</v>
      </c>
      <c r="B34" s="8" t="s">
        <v>161</v>
      </c>
      <c r="C34" s="6">
        <v>1874.0</v>
      </c>
      <c r="D34" s="9"/>
    </row>
    <row r="35" ht="22.5" customHeight="1">
      <c r="A35" s="6">
        <v>236.0</v>
      </c>
      <c r="B35" s="8" t="s">
        <v>93</v>
      </c>
      <c r="C35" s="6"/>
      <c r="D35" s="8" t="s">
        <v>93</v>
      </c>
    </row>
    <row r="36" ht="22.5" customHeight="1">
      <c r="A36" s="6">
        <v>237.0</v>
      </c>
      <c r="B36" s="8" t="s">
        <v>160</v>
      </c>
      <c r="C36" s="6">
        <v>1871.0</v>
      </c>
      <c r="D36" s="9"/>
    </row>
    <row r="37" ht="22.5" customHeight="1">
      <c r="A37" s="6">
        <v>246.0</v>
      </c>
      <c r="B37" s="8" t="s">
        <v>160</v>
      </c>
      <c r="C37" s="6">
        <v>1868.0</v>
      </c>
      <c r="D37" s="9"/>
    </row>
    <row r="38" ht="22.5" customHeight="1">
      <c r="A38" s="6">
        <v>250.0</v>
      </c>
      <c r="B38" s="8" t="s">
        <v>161</v>
      </c>
      <c r="C38" s="6">
        <v>1868.0</v>
      </c>
      <c r="D38" s="9"/>
    </row>
    <row r="39" ht="22.5" customHeight="1">
      <c r="A39" s="6">
        <v>252.0</v>
      </c>
      <c r="B39" s="8" t="s">
        <v>175</v>
      </c>
      <c r="C39" s="6"/>
      <c r="D39" s="9"/>
    </row>
    <row r="40" ht="22.5" customHeight="1">
      <c r="A40" s="6">
        <v>259.0</v>
      </c>
      <c r="B40" s="8" t="s">
        <v>160</v>
      </c>
      <c r="C40" s="6">
        <v>1865.0</v>
      </c>
      <c r="D40" s="9"/>
    </row>
  </sheetData>
  <dataValidations>
    <dataValidation type="custom" allowBlank="1" showDropDown="1" sqref="A2:A40 C2:C40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25"/>
  </cols>
  <sheetData>
    <row r="1" ht="22.5" customHeight="1">
      <c r="A1" s="2" t="s">
        <v>176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8" t="s">
        <v>190</v>
      </c>
    </row>
    <row r="2" ht="22.5" customHeight="1">
      <c r="A2" s="8" t="s">
        <v>7</v>
      </c>
      <c r="B2" s="8" t="s">
        <v>47</v>
      </c>
      <c r="C2" s="8" t="s">
        <v>87</v>
      </c>
      <c r="D2" s="8" t="s">
        <v>82</v>
      </c>
      <c r="E2" s="8" t="s">
        <v>56</v>
      </c>
      <c r="F2" s="8" t="s">
        <v>24</v>
      </c>
      <c r="G2" s="8" t="s">
        <v>27</v>
      </c>
      <c r="H2" s="14">
        <v>13.0</v>
      </c>
      <c r="I2" s="14">
        <v>16.0</v>
      </c>
      <c r="J2" s="14">
        <v>12.0</v>
      </c>
      <c r="K2" s="14">
        <v>15.0</v>
      </c>
      <c r="L2" s="14">
        <v>14.0</v>
      </c>
      <c r="M2" s="14">
        <v>11.0</v>
      </c>
      <c r="N2" s="14">
        <v>17.0</v>
      </c>
      <c r="O2" s="19">
        <f t="shared" ref="O2:O7" si="1">sum(H2:N2)</f>
        <v>98</v>
      </c>
    </row>
    <row r="3" ht="22.5" customHeight="1">
      <c r="A3" s="11" t="s">
        <v>191</v>
      </c>
      <c r="B3" s="8" t="s">
        <v>50</v>
      </c>
      <c r="C3" s="8" t="s">
        <v>85</v>
      </c>
      <c r="D3" s="8" t="s">
        <v>82</v>
      </c>
      <c r="E3" s="8" t="s">
        <v>48</v>
      </c>
      <c r="F3" s="8" t="s">
        <v>51</v>
      </c>
      <c r="G3" s="8" t="s">
        <v>46</v>
      </c>
      <c r="H3" s="14">
        <v>0.0</v>
      </c>
      <c r="I3" s="14">
        <v>0.0</v>
      </c>
      <c r="J3" s="14">
        <v>0.0</v>
      </c>
      <c r="K3" s="14">
        <v>12.0</v>
      </c>
      <c r="L3" s="14">
        <v>0.0</v>
      </c>
      <c r="M3" s="14">
        <v>16.0</v>
      </c>
      <c r="N3" s="14">
        <v>13.0</v>
      </c>
      <c r="O3" s="19">
        <f t="shared" si="1"/>
        <v>41</v>
      </c>
    </row>
    <row r="4" ht="22.5" customHeight="1">
      <c r="A4" s="11" t="s">
        <v>191</v>
      </c>
      <c r="B4" s="8" t="s">
        <v>35</v>
      </c>
      <c r="C4" s="8" t="s">
        <v>83</v>
      </c>
      <c r="D4" s="8" t="s">
        <v>84</v>
      </c>
      <c r="E4" s="8" t="s">
        <v>70</v>
      </c>
      <c r="F4" s="8" t="s">
        <v>33</v>
      </c>
      <c r="G4" s="8" t="s">
        <v>44</v>
      </c>
      <c r="H4" s="14">
        <v>0.0</v>
      </c>
      <c r="I4" s="14">
        <v>0.0</v>
      </c>
      <c r="J4" s="14">
        <v>14.0</v>
      </c>
      <c r="K4" s="14">
        <v>15.0</v>
      </c>
      <c r="L4" s="14">
        <v>0.0</v>
      </c>
      <c r="M4" s="14">
        <v>17.0</v>
      </c>
      <c r="N4" s="14">
        <v>16.0</v>
      </c>
      <c r="O4" s="19">
        <f t="shared" si="1"/>
        <v>62</v>
      </c>
    </row>
    <row r="5" ht="22.5" customHeight="1">
      <c r="A5" s="11" t="s">
        <v>191</v>
      </c>
      <c r="B5" s="8" t="s">
        <v>55</v>
      </c>
      <c r="C5" s="8" t="s">
        <v>73</v>
      </c>
      <c r="D5" s="8" t="s">
        <v>21</v>
      </c>
      <c r="E5" s="8" t="s">
        <v>30</v>
      </c>
      <c r="F5" s="8" t="s">
        <v>39</v>
      </c>
      <c r="G5" s="8" t="s">
        <v>69</v>
      </c>
      <c r="H5" s="14">
        <v>11.0</v>
      </c>
      <c r="I5" s="14">
        <v>14.0</v>
      </c>
      <c r="J5" s="14">
        <v>12.0</v>
      </c>
      <c r="K5" s="14">
        <v>17.0</v>
      </c>
      <c r="L5" s="14">
        <v>15.0</v>
      </c>
      <c r="M5" s="14">
        <v>13.0</v>
      </c>
      <c r="N5" s="14">
        <v>16.0</v>
      </c>
      <c r="O5" s="19">
        <f t="shared" si="1"/>
        <v>98</v>
      </c>
    </row>
    <row r="6" ht="22.5" customHeight="1">
      <c r="A6" s="11" t="s">
        <v>191</v>
      </c>
      <c r="B6" s="8" t="s">
        <v>32</v>
      </c>
      <c r="C6" s="8" t="s">
        <v>68</v>
      </c>
      <c r="D6" s="8" t="s">
        <v>79</v>
      </c>
      <c r="E6" s="8" t="s">
        <v>86</v>
      </c>
      <c r="F6" s="8" t="s">
        <v>18</v>
      </c>
      <c r="G6" s="8" t="s">
        <v>39</v>
      </c>
      <c r="H6" s="14">
        <v>12.0</v>
      </c>
      <c r="I6" s="14">
        <v>0.0</v>
      </c>
      <c r="J6" s="14">
        <v>15.0</v>
      </c>
      <c r="K6" s="14">
        <v>0.0</v>
      </c>
      <c r="L6" s="14">
        <v>0.0</v>
      </c>
      <c r="M6" s="14">
        <v>17.0</v>
      </c>
      <c r="N6" s="14">
        <v>11.0</v>
      </c>
      <c r="O6" s="19">
        <f t="shared" si="1"/>
        <v>55</v>
      </c>
    </row>
    <row r="7" ht="22.5" customHeight="1">
      <c r="A7" s="8" t="s">
        <v>192</v>
      </c>
      <c r="B7" s="8" t="s">
        <v>45</v>
      </c>
      <c r="C7" s="8" t="s">
        <v>78</v>
      </c>
      <c r="D7" s="8" t="s">
        <v>20</v>
      </c>
      <c r="E7" s="8" t="s">
        <v>62</v>
      </c>
      <c r="F7" s="8" t="s">
        <v>23</v>
      </c>
      <c r="G7" s="8" t="s">
        <v>36</v>
      </c>
      <c r="H7" s="14">
        <v>0.0</v>
      </c>
      <c r="I7" s="14">
        <v>0.0</v>
      </c>
      <c r="J7" s="14">
        <v>0.0</v>
      </c>
      <c r="K7" s="14">
        <v>0.0</v>
      </c>
      <c r="L7" s="14">
        <v>0.0</v>
      </c>
      <c r="M7" s="14">
        <v>0.0</v>
      </c>
      <c r="N7" s="14">
        <v>0.0</v>
      </c>
      <c r="O7" s="19">
        <f t="shared" si="1"/>
        <v>0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4" max="4" width="13.38"/>
    <col customWidth="1" min="5" max="8" width="15.0"/>
  </cols>
  <sheetData>
    <row r="1" ht="22.5" customHeight="1">
      <c r="A1" s="3" t="s">
        <v>193</v>
      </c>
      <c r="B1" s="3" t="s">
        <v>194</v>
      </c>
      <c r="C1" s="3" t="s">
        <v>14</v>
      </c>
      <c r="D1" s="3" t="s">
        <v>195</v>
      </c>
      <c r="E1" s="3" t="s">
        <v>196</v>
      </c>
      <c r="F1" s="3" t="s">
        <v>197</v>
      </c>
      <c r="G1" s="3" t="s">
        <v>198</v>
      </c>
      <c r="H1" s="3" t="s">
        <v>199</v>
      </c>
      <c r="I1" s="3" t="s">
        <v>200</v>
      </c>
      <c r="J1" s="3" t="s">
        <v>201</v>
      </c>
    </row>
    <row r="2" ht="22.5" customHeight="1">
      <c r="A2" s="20" t="s">
        <v>151</v>
      </c>
      <c r="B2" s="21">
        <v>8.0</v>
      </c>
      <c r="C2" s="21">
        <f t="shared" ref="C2:C5" si="1">if(countif(E2:I2,"NA")=0,1,0)</f>
        <v>1</v>
      </c>
      <c r="D2" s="21">
        <f t="shared" ref="D2:D5" si="2">B2*C2</f>
        <v>8</v>
      </c>
      <c r="E2" s="20" t="s">
        <v>153</v>
      </c>
      <c r="F2" s="20" t="s">
        <v>151</v>
      </c>
      <c r="G2" s="22"/>
      <c r="H2" s="22"/>
      <c r="L2" s="4" t="str">
        <f t="array" ref="L2:L7">unique(Table1[[#ALL],[player]])</f>
        <v>player</v>
      </c>
      <c r="M2" s="5" t="s">
        <v>202</v>
      </c>
    </row>
    <row r="3" ht="22.5" customHeight="1">
      <c r="A3" s="20" t="s">
        <v>151</v>
      </c>
      <c r="B3" s="21">
        <v>16.0</v>
      </c>
      <c r="C3" s="21">
        <f t="shared" si="1"/>
        <v>0</v>
      </c>
      <c r="D3" s="21">
        <f t="shared" si="2"/>
        <v>0</v>
      </c>
      <c r="E3" s="20" t="s">
        <v>203</v>
      </c>
      <c r="F3" s="20" t="s">
        <v>203</v>
      </c>
      <c r="G3" s="22"/>
      <c r="H3" s="22"/>
      <c r="L3" s="4" t="s">
        <v>151</v>
      </c>
      <c r="M3" s="4">
        <f>sumif(Table1[player],L3,Table1[points])</f>
        <v>40</v>
      </c>
    </row>
    <row r="4" ht="22.5" customHeight="1">
      <c r="A4" s="20" t="s">
        <v>151</v>
      </c>
      <c r="B4" s="21">
        <v>32.0</v>
      </c>
      <c r="C4" s="21">
        <f t="shared" si="1"/>
        <v>1</v>
      </c>
      <c r="D4" s="21">
        <f t="shared" si="2"/>
        <v>32</v>
      </c>
      <c r="E4" s="20" t="s">
        <v>153</v>
      </c>
      <c r="F4" s="20" t="s">
        <v>153</v>
      </c>
      <c r="G4" s="20" t="s">
        <v>155</v>
      </c>
      <c r="H4" s="20" t="s">
        <v>154</v>
      </c>
      <c r="L4" s="4" t="s">
        <v>154</v>
      </c>
      <c r="M4" s="4">
        <f>sumif(Table1[player],L4,Table1[points])</f>
        <v>71</v>
      </c>
    </row>
    <row r="5" ht="22.5" customHeight="1">
      <c r="A5" s="20" t="s">
        <v>151</v>
      </c>
      <c r="B5" s="21">
        <v>64.0</v>
      </c>
      <c r="C5" s="21">
        <f t="shared" si="1"/>
        <v>0</v>
      </c>
      <c r="D5" s="21">
        <f t="shared" si="2"/>
        <v>0</v>
      </c>
      <c r="E5" s="20" t="s">
        <v>153</v>
      </c>
      <c r="F5" s="20" t="s">
        <v>203</v>
      </c>
      <c r="G5" s="20" t="s">
        <v>203</v>
      </c>
      <c r="H5" s="20" t="s">
        <v>203</v>
      </c>
      <c r="I5" s="23" t="s">
        <v>203</v>
      </c>
      <c r="L5" s="4" t="s">
        <v>155</v>
      </c>
      <c r="M5" s="4">
        <f>sumif(Table1[player],L5,Table1[points])</f>
        <v>8</v>
      </c>
    </row>
    <row r="6" ht="22.5" customHeight="1">
      <c r="A6" s="20" t="s">
        <v>151</v>
      </c>
      <c r="B6" s="23" t="s">
        <v>204</v>
      </c>
      <c r="C6" s="24">
        <f>countif(E6:J6,A6)</f>
        <v>0</v>
      </c>
      <c r="D6" s="21">
        <f>C6*5+(6-countif(E6:J6,"NA")-C6)*2</f>
        <v>0</v>
      </c>
      <c r="E6" s="20" t="s">
        <v>203</v>
      </c>
      <c r="F6" s="20" t="s">
        <v>203</v>
      </c>
      <c r="G6" s="20" t="s">
        <v>203</v>
      </c>
      <c r="H6" s="20" t="s">
        <v>203</v>
      </c>
      <c r="I6" s="23" t="s">
        <v>203</v>
      </c>
      <c r="J6" s="23" t="s">
        <v>203</v>
      </c>
      <c r="L6" s="4" t="s">
        <v>153</v>
      </c>
      <c r="M6" s="4">
        <f>sumif(Table1[player],L6,Table1[points])</f>
        <v>56</v>
      </c>
    </row>
    <row r="7" ht="22.5" customHeight="1">
      <c r="A7" s="20" t="s">
        <v>154</v>
      </c>
      <c r="B7" s="21">
        <v>8.0</v>
      </c>
      <c r="C7" s="21">
        <f t="shared" ref="C7:C10" si="3">if(countif(E7:I7,"NA")=0,1,0)</f>
        <v>1</v>
      </c>
      <c r="D7" s="21">
        <f t="shared" ref="D7:D10" si="4">B7*C7</f>
        <v>8</v>
      </c>
      <c r="E7" s="20" t="s">
        <v>155</v>
      </c>
      <c r="F7" s="20" t="s">
        <v>151</v>
      </c>
      <c r="G7" s="22"/>
      <c r="H7" s="22"/>
      <c r="L7" s="4" t="s">
        <v>156</v>
      </c>
      <c r="M7" s="4">
        <f>sumif(Table1[player],L7,Table1[points])</f>
        <v>104</v>
      </c>
    </row>
    <row r="8" ht="22.5" customHeight="1">
      <c r="A8" s="20" t="s">
        <v>154</v>
      </c>
      <c r="B8" s="21">
        <v>16.0</v>
      </c>
      <c r="C8" s="21">
        <f t="shared" si="3"/>
        <v>1</v>
      </c>
      <c r="D8" s="21">
        <f t="shared" si="4"/>
        <v>16</v>
      </c>
      <c r="E8" s="20" t="s">
        <v>155</v>
      </c>
      <c r="F8" s="20" t="s">
        <v>156</v>
      </c>
      <c r="G8" s="20" t="s">
        <v>153</v>
      </c>
      <c r="H8" s="22"/>
    </row>
    <row r="9" ht="22.5" customHeight="1">
      <c r="A9" s="20" t="s">
        <v>154</v>
      </c>
      <c r="B9" s="21">
        <v>32.0</v>
      </c>
      <c r="C9" s="21">
        <f t="shared" si="3"/>
        <v>1</v>
      </c>
      <c r="D9" s="21">
        <f t="shared" si="4"/>
        <v>32</v>
      </c>
      <c r="E9" s="20" t="s">
        <v>155</v>
      </c>
      <c r="F9" s="20" t="s">
        <v>151</v>
      </c>
      <c r="G9" s="20" t="s">
        <v>156</v>
      </c>
      <c r="H9" s="20" t="s">
        <v>153</v>
      </c>
    </row>
    <row r="10" ht="22.5" customHeight="1">
      <c r="A10" s="20" t="s">
        <v>154</v>
      </c>
      <c r="B10" s="21">
        <v>64.0</v>
      </c>
      <c r="C10" s="21">
        <f t="shared" si="3"/>
        <v>0</v>
      </c>
      <c r="D10" s="21">
        <f t="shared" si="4"/>
        <v>0</v>
      </c>
      <c r="E10" s="20" t="s">
        <v>203</v>
      </c>
      <c r="F10" s="20" t="s">
        <v>203</v>
      </c>
      <c r="G10" s="20" t="s">
        <v>203</v>
      </c>
      <c r="H10" s="20" t="s">
        <v>203</v>
      </c>
      <c r="I10" s="23" t="s">
        <v>203</v>
      </c>
    </row>
    <row r="11" ht="22.5" customHeight="1">
      <c r="A11" s="20" t="s">
        <v>154</v>
      </c>
      <c r="B11" s="23" t="s">
        <v>204</v>
      </c>
      <c r="C11" s="24">
        <f>countif(E11:J11,A11)</f>
        <v>3</v>
      </c>
      <c r="D11" s="21">
        <f>C11*5+(6-countif(E11:J11,"NA")-C11)*2</f>
        <v>15</v>
      </c>
      <c r="E11" s="20" t="s">
        <v>154</v>
      </c>
      <c r="F11" s="20" t="s">
        <v>154</v>
      </c>
      <c r="G11" s="20" t="s">
        <v>154</v>
      </c>
      <c r="H11" s="20" t="s">
        <v>203</v>
      </c>
      <c r="I11" s="23" t="s">
        <v>203</v>
      </c>
      <c r="J11" s="23" t="s">
        <v>203</v>
      </c>
    </row>
    <row r="12" ht="22.5" customHeight="1">
      <c r="A12" s="20" t="s">
        <v>155</v>
      </c>
      <c r="B12" s="21">
        <v>8.0</v>
      </c>
      <c r="C12" s="21">
        <f t="shared" ref="C12:C15" si="5">if(countif(E12:I12,"NA")=0,1,0)</f>
        <v>1</v>
      </c>
      <c r="D12" s="21">
        <f t="shared" ref="D12:D15" si="6">B12*C12</f>
        <v>8</v>
      </c>
      <c r="E12" s="20" t="s">
        <v>151</v>
      </c>
      <c r="F12" s="20" t="s">
        <v>154</v>
      </c>
      <c r="G12" s="22"/>
      <c r="H12" s="22"/>
    </row>
    <row r="13" ht="22.5" customHeight="1">
      <c r="A13" s="20" t="s">
        <v>155</v>
      </c>
      <c r="B13" s="21">
        <v>16.0</v>
      </c>
      <c r="C13" s="21">
        <f t="shared" si="5"/>
        <v>0</v>
      </c>
      <c r="D13" s="21">
        <f t="shared" si="6"/>
        <v>0</v>
      </c>
      <c r="E13" s="20" t="s">
        <v>154</v>
      </c>
      <c r="F13" s="20" t="s">
        <v>156</v>
      </c>
      <c r="G13" s="20" t="s">
        <v>203</v>
      </c>
      <c r="H13" s="22"/>
    </row>
    <row r="14" ht="22.5" customHeight="1">
      <c r="A14" s="20" t="s">
        <v>155</v>
      </c>
      <c r="B14" s="21">
        <v>32.0</v>
      </c>
      <c r="C14" s="21">
        <f t="shared" si="5"/>
        <v>0</v>
      </c>
      <c r="D14" s="21">
        <f t="shared" si="6"/>
        <v>0</v>
      </c>
      <c r="E14" s="20" t="s">
        <v>203</v>
      </c>
      <c r="F14" s="20" t="s">
        <v>203</v>
      </c>
      <c r="G14" s="20" t="s">
        <v>203</v>
      </c>
      <c r="H14" s="20" t="s">
        <v>203</v>
      </c>
    </row>
    <row r="15" ht="22.5" customHeight="1">
      <c r="A15" s="20" t="s">
        <v>155</v>
      </c>
      <c r="B15" s="21">
        <v>64.0</v>
      </c>
      <c r="C15" s="21">
        <f t="shared" si="5"/>
        <v>0</v>
      </c>
      <c r="D15" s="21">
        <f t="shared" si="6"/>
        <v>0</v>
      </c>
      <c r="E15" s="20" t="s">
        <v>156</v>
      </c>
      <c r="F15" s="20" t="s">
        <v>151</v>
      </c>
      <c r="G15" s="20" t="s">
        <v>153</v>
      </c>
      <c r="H15" s="20" t="s">
        <v>154</v>
      </c>
      <c r="I15" s="23" t="s">
        <v>203</v>
      </c>
    </row>
    <row r="16" ht="22.5" customHeight="1">
      <c r="A16" s="20" t="s">
        <v>155</v>
      </c>
      <c r="B16" s="23" t="s">
        <v>204</v>
      </c>
      <c r="C16" s="24">
        <f>countif(E16:J16,A16)</f>
        <v>0</v>
      </c>
      <c r="D16" s="21">
        <f>C16*5+(6-countif(E16:J16,"NA")-C16)*2</f>
        <v>0</v>
      </c>
      <c r="E16" s="20" t="s">
        <v>203</v>
      </c>
      <c r="F16" s="20" t="s">
        <v>203</v>
      </c>
      <c r="G16" s="20" t="s">
        <v>203</v>
      </c>
      <c r="H16" s="20" t="s">
        <v>203</v>
      </c>
      <c r="I16" s="23" t="s">
        <v>203</v>
      </c>
      <c r="J16" s="23" t="s">
        <v>203</v>
      </c>
    </row>
    <row r="17" ht="22.5" customHeight="1">
      <c r="A17" s="20" t="s">
        <v>153</v>
      </c>
      <c r="B17" s="21">
        <v>8.0</v>
      </c>
      <c r="C17" s="21">
        <f t="shared" ref="C17:C20" si="7">if(countif(E17:I17,"NA")=0,1,0)</f>
        <v>0</v>
      </c>
      <c r="D17" s="21">
        <f t="shared" ref="D17:D20" si="8">B17*C17</f>
        <v>0</v>
      </c>
      <c r="E17" s="20" t="s">
        <v>203</v>
      </c>
      <c r="F17" s="20" t="s">
        <v>203</v>
      </c>
      <c r="G17" s="22"/>
      <c r="H17" s="22"/>
    </row>
    <row r="18" ht="22.5" customHeight="1">
      <c r="A18" s="20" t="s">
        <v>153</v>
      </c>
      <c r="B18" s="21">
        <v>16.0</v>
      </c>
      <c r="C18" s="21">
        <f t="shared" si="7"/>
        <v>1</v>
      </c>
      <c r="D18" s="21">
        <f t="shared" si="8"/>
        <v>16</v>
      </c>
      <c r="E18" s="20" t="s">
        <v>156</v>
      </c>
      <c r="F18" s="20" t="s">
        <v>154</v>
      </c>
      <c r="G18" s="20" t="s">
        <v>155</v>
      </c>
      <c r="H18" s="22"/>
    </row>
    <row r="19" ht="22.5" customHeight="1">
      <c r="A19" s="20" t="s">
        <v>153</v>
      </c>
      <c r="B19" s="21">
        <v>32.0</v>
      </c>
      <c r="C19" s="21">
        <f t="shared" si="7"/>
        <v>1</v>
      </c>
      <c r="D19" s="21">
        <f t="shared" si="8"/>
        <v>32</v>
      </c>
      <c r="E19" s="20" t="s">
        <v>156</v>
      </c>
      <c r="F19" s="20" t="s">
        <v>155</v>
      </c>
      <c r="G19" s="20" t="s">
        <v>151</v>
      </c>
      <c r="H19" s="20" t="s">
        <v>155</v>
      </c>
    </row>
    <row r="20" ht="22.5" customHeight="1">
      <c r="A20" s="20" t="s">
        <v>153</v>
      </c>
      <c r="B20" s="21">
        <v>64.0</v>
      </c>
      <c r="C20" s="21">
        <f t="shared" si="7"/>
        <v>0</v>
      </c>
      <c r="D20" s="21">
        <f t="shared" si="8"/>
        <v>0</v>
      </c>
      <c r="E20" s="20" t="s">
        <v>203</v>
      </c>
      <c r="F20" s="20" t="s">
        <v>203</v>
      </c>
      <c r="G20" s="20" t="s">
        <v>203</v>
      </c>
      <c r="H20" s="20" t="s">
        <v>203</v>
      </c>
      <c r="I20" s="23" t="s">
        <v>203</v>
      </c>
    </row>
    <row r="21" ht="22.5" customHeight="1">
      <c r="A21" s="20" t="s">
        <v>153</v>
      </c>
      <c r="B21" s="23" t="s">
        <v>204</v>
      </c>
      <c r="C21" s="24">
        <f>countif(E21:J21,A21)</f>
        <v>0</v>
      </c>
      <c r="D21" s="21">
        <f>C21*5+(6-countif(E21:J21,"NA")-C21)*2</f>
        <v>8</v>
      </c>
      <c r="E21" s="20" t="s">
        <v>156</v>
      </c>
      <c r="F21" s="20" t="s">
        <v>155</v>
      </c>
      <c r="G21" s="20" t="s">
        <v>155</v>
      </c>
      <c r="H21" s="20" t="s">
        <v>151</v>
      </c>
      <c r="I21" s="23" t="s">
        <v>203</v>
      </c>
      <c r="J21" s="23" t="s">
        <v>203</v>
      </c>
    </row>
    <row r="22" ht="22.5" customHeight="1">
      <c r="A22" s="20" t="s">
        <v>156</v>
      </c>
      <c r="B22" s="21">
        <v>8.0</v>
      </c>
      <c r="C22" s="21">
        <f t="shared" ref="C22:C25" si="9">if(countif(E22:I22,"NA")=0,1,0)</f>
        <v>1</v>
      </c>
      <c r="D22" s="21">
        <f t="shared" ref="D22:D25" si="10">B22*C22</f>
        <v>8</v>
      </c>
      <c r="E22" s="20" t="s">
        <v>153</v>
      </c>
      <c r="F22" s="20" t="s">
        <v>151</v>
      </c>
      <c r="G22" s="22"/>
      <c r="H22" s="22"/>
    </row>
    <row r="23" ht="22.5" customHeight="1">
      <c r="A23" s="20" t="s">
        <v>156</v>
      </c>
      <c r="B23" s="21">
        <v>16.0</v>
      </c>
      <c r="C23" s="21">
        <f t="shared" si="9"/>
        <v>0</v>
      </c>
      <c r="D23" s="21">
        <f t="shared" si="10"/>
        <v>0</v>
      </c>
      <c r="E23" s="20" t="s">
        <v>156</v>
      </c>
      <c r="F23" s="20" t="s">
        <v>203</v>
      </c>
      <c r="G23" s="20" t="s">
        <v>203</v>
      </c>
      <c r="H23" s="22"/>
    </row>
    <row r="24" ht="22.5" customHeight="1">
      <c r="A24" s="20" t="s">
        <v>156</v>
      </c>
      <c r="B24" s="21">
        <v>32.0</v>
      </c>
      <c r="C24" s="21">
        <f t="shared" si="9"/>
        <v>1</v>
      </c>
      <c r="D24" s="21">
        <f t="shared" si="10"/>
        <v>32</v>
      </c>
      <c r="E24" s="20" t="s">
        <v>153</v>
      </c>
      <c r="F24" s="20" t="s">
        <v>151</v>
      </c>
      <c r="G24" s="20" t="s">
        <v>156</v>
      </c>
      <c r="H24" s="20" t="s">
        <v>154</v>
      </c>
    </row>
    <row r="25" ht="22.5" customHeight="1">
      <c r="A25" s="20" t="s">
        <v>156</v>
      </c>
      <c r="B25" s="21">
        <v>64.0</v>
      </c>
      <c r="C25" s="21">
        <f t="shared" si="9"/>
        <v>1</v>
      </c>
      <c r="D25" s="21">
        <f t="shared" si="10"/>
        <v>64</v>
      </c>
      <c r="E25" s="20" t="s">
        <v>156</v>
      </c>
      <c r="F25" s="20" t="s">
        <v>154</v>
      </c>
      <c r="G25" s="20" t="s">
        <v>153</v>
      </c>
      <c r="H25" s="20" t="s">
        <v>151</v>
      </c>
      <c r="I25" s="23" t="s">
        <v>155</v>
      </c>
    </row>
    <row r="26" ht="22.5" customHeight="1">
      <c r="A26" s="20" t="s">
        <v>156</v>
      </c>
      <c r="B26" s="23" t="s">
        <v>204</v>
      </c>
      <c r="C26" s="24">
        <f>countif(E26:J26,A26)</f>
        <v>0</v>
      </c>
      <c r="D26" s="21">
        <f>C26*5+(6-countif(E26:J26,"NA")-C26)*2</f>
        <v>0</v>
      </c>
      <c r="E26" s="20" t="s">
        <v>203</v>
      </c>
      <c r="F26" s="20" t="s">
        <v>203</v>
      </c>
      <c r="G26" s="20" t="s">
        <v>203</v>
      </c>
      <c r="H26" s="20" t="s">
        <v>203</v>
      </c>
      <c r="I26" s="23" t="s">
        <v>203</v>
      </c>
      <c r="J26" s="23" t="s">
        <v>203</v>
      </c>
    </row>
  </sheetData>
  <dataValidations>
    <dataValidation type="list" allowBlank="1" showDropDown="1" showErrorMessage="1" sqref="A2:A26">
      <formula1>"blue,green,red,yellow,black"</formula1>
    </dataValidation>
    <dataValidation type="list" allowBlank="1" showDropDown="1" showErrorMessage="1" sqref="E2:E26">
      <formula1>"red,NA"</formula1>
    </dataValidation>
    <dataValidation type="list" allowBlank="1" showDropDown="1" showErrorMessage="1" sqref="G2:G26">
      <formula1>"yellow,NA"</formula1>
    </dataValidation>
    <dataValidation type="list" allowBlank="1" showDropDown="1" showErrorMessage="1" sqref="F2:F26">
      <formula1>"blue,NA,red"</formula1>
    </dataValidation>
    <dataValidation type="list" allowBlank="1" showDropDown="1" showErrorMessage="1" sqref="H2:H26">
      <formula1>"green,NA"</formula1>
    </dataValidation>
    <dataValidation type="custom" allowBlank="1" showDropDown="1" sqref="B2:D2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4" max="4" width="12.75"/>
    <col customWidth="1" min="5" max="5" width="13.0"/>
    <col customWidth="1" min="12" max="12" width="6.5"/>
    <col customWidth="1" min="13" max="13" width="4.13"/>
    <col customWidth="1" min="14" max="29" width="2.88"/>
  </cols>
  <sheetData>
    <row r="2" ht="22.5" customHeight="1">
      <c r="A2" s="3" t="s">
        <v>205</v>
      </c>
      <c r="B2" s="3" t="s">
        <v>206</v>
      </c>
      <c r="C2" s="3" t="s">
        <v>207</v>
      </c>
      <c r="D2" s="3" t="s">
        <v>208</v>
      </c>
      <c r="E2" s="3" t="s">
        <v>209</v>
      </c>
      <c r="F2" s="3" t="s">
        <v>210</v>
      </c>
      <c r="G2" s="3" t="s">
        <v>211</v>
      </c>
      <c r="H2" s="3" t="s">
        <v>212</v>
      </c>
      <c r="I2" s="3" t="s">
        <v>213</v>
      </c>
      <c r="J2" s="25" t="s">
        <v>193</v>
      </c>
      <c r="L2" s="4" t="str">
        <f t="array" ref="L2:L8">unique(Timetable[[#ALL],[player]])</f>
        <v>player</v>
      </c>
      <c r="M2" s="5" t="s">
        <v>214</v>
      </c>
      <c r="N2" s="5" t="s">
        <v>215</v>
      </c>
      <c r="O2" s="5" t="s">
        <v>216</v>
      </c>
      <c r="P2" s="5" t="s">
        <v>217</v>
      </c>
      <c r="Q2" s="5" t="s">
        <v>218</v>
      </c>
      <c r="R2" s="5" t="s">
        <v>219</v>
      </c>
      <c r="S2" s="5" t="s">
        <v>220</v>
      </c>
      <c r="T2" s="5" t="s">
        <v>221</v>
      </c>
      <c r="U2" s="5" t="s">
        <v>222</v>
      </c>
      <c r="V2" s="5" t="s">
        <v>223</v>
      </c>
      <c r="W2" s="5" t="s">
        <v>224</v>
      </c>
      <c r="X2" s="5" t="s">
        <v>225</v>
      </c>
      <c r="Y2" s="5" t="s">
        <v>226</v>
      </c>
      <c r="Z2" s="5" t="s">
        <v>227</v>
      </c>
      <c r="AA2" s="5" t="s">
        <v>228</v>
      </c>
      <c r="AB2" s="5" t="s">
        <v>229</v>
      </c>
      <c r="AC2" s="5" t="s">
        <v>230</v>
      </c>
    </row>
    <row r="3" ht="22.5" customHeight="1">
      <c r="A3" s="21">
        <v>1.0</v>
      </c>
      <c r="B3" s="23" t="s">
        <v>50</v>
      </c>
      <c r="D3" s="23" t="s">
        <v>38</v>
      </c>
      <c r="E3" s="23" t="s">
        <v>29</v>
      </c>
      <c r="F3" s="23" t="s">
        <v>36</v>
      </c>
      <c r="G3" s="23" t="s">
        <v>18</v>
      </c>
      <c r="H3" s="23" t="s">
        <v>69</v>
      </c>
      <c r="I3" s="23" t="s">
        <v>27</v>
      </c>
      <c r="J3" s="23" t="s">
        <v>151</v>
      </c>
      <c r="L3" s="4" t="s">
        <v>151</v>
      </c>
      <c r="M3" s="4">
        <f t="shared" ref="M3:M8" si="2">sum(N3:AC3)</f>
        <v>10</v>
      </c>
      <c r="N3" s="4">
        <f t="shared" ref="N3:U3" si="1">10*(COUNTIFS(B2:B50,"&lt;&gt;",$J2:$J50,$L3)=COUNTIF($J2:$J50,$L3))</f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>IFERROR(__xludf.DUMMYFUNCTION("10*(COUNTA(FILTER($B$2:$I$50,$A$2:$A$50=1,$J$2:$J$50=L3))=8)"),0.0)</f>
        <v>0</v>
      </c>
      <c r="W3" s="4">
        <f>IFERROR(__xludf.DUMMYFUNCTION("10*(COUNTA(FILTER($B$2:$I$50,$A$2:$A$50=2,$J$2:$J$50=L3))=8)"),0.0)</f>
        <v>0</v>
      </c>
      <c r="X3" s="4">
        <f>IFERROR(__xludf.DUMMYFUNCTION("10*(COUNTA(FILTER($B$2:$I$50,$A$2:$A$50=3,$J$2:$J$50=L3))=8)"),0.0)</f>
        <v>0</v>
      </c>
      <c r="Y3" s="4">
        <f>IFERROR(__xludf.DUMMYFUNCTION("10*(COUNTA(FILTER($B$2:$I$50,$A$2:$A$50=4,$J$2:$J$50=L3))=8)"),10.0)</f>
        <v>10</v>
      </c>
      <c r="Z3" s="4">
        <f>IFERROR(__xludf.DUMMYFUNCTION("10*(COUNTA(FILTER($B$2:$I$50,$A$2:$A$50=5,$J$2:$J$50=L3))=8)"),0.0)</f>
        <v>0</v>
      </c>
      <c r="AA3" s="4">
        <f>IFERROR(__xludf.DUMMYFUNCTION("10*(COUNTA(FILTER($B$2:$I$50,$A$2:$A$50=6,$J$2:$J$50=L3))=8)"),0.0)</f>
        <v>0</v>
      </c>
      <c r="AB3" s="4">
        <f>IFERROR(__xludf.DUMMYFUNCTION("10*(COUNTA(FILTER($B$2:$I$50,$A$2:$A$50=7,$J$2:$J$50=L3))=8)"),0.0)</f>
        <v>0</v>
      </c>
      <c r="AC3" s="4">
        <f>IFERROR(__xludf.DUMMYFUNCTION("10*(COUNTA(FILTER($B$2:$I$50,$A$2:$A$50=8,$J$2:$J$50=L3))=8)"),0.0)</f>
        <v>0</v>
      </c>
    </row>
    <row r="4" ht="22.5" customHeight="1">
      <c r="A4" s="21">
        <v>2.0</v>
      </c>
      <c r="B4" s="23" t="s">
        <v>35</v>
      </c>
      <c r="C4" s="23" t="s">
        <v>47</v>
      </c>
      <c r="D4" s="23" t="s">
        <v>53</v>
      </c>
      <c r="G4" s="23" t="s">
        <v>56</v>
      </c>
      <c r="H4" s="23" t="s">
        <v>44</v>
      </c>
      <c r="J4" s="23" t="s">
        <v>151</v>
      </c>
      <c r="L4" s="4" t="s">
        <v>154</v>
      </c>
      <c r="M4" s="4">
        <f t="shared" si="2"/>
        <v>30</v>
      </c>
      <c r="N4" s="4">
        <f t="shared" ref="N4:U4" si="3">10*(COUNTIFS(B3:B51,"&lt;&gt;",$J3:$J51,$L4)=COUNTIF($J3:$J51,$L4))</f>
        <v>0</v>
      </c>
      <c r="O4" s="4">
        <f t="shared" si="3"/>
        <v>0</v>
      </c>
      <c r="P4" s="4">
        <f t="shared" si="3"/>
        <v>0</v>
      </c>
      <c r="Q4" s="4">
        <f t="shared" si="3"/>
        <v>0</v>
      </c>
      <c r="R4" s="4">
        <f t="shared" si="3"/>
        <v>0</v>
      </c>
      <c r="S4" s="4">
        <f t="shared" si="3"/>
        <v>10</v>
      </c>
      <c r="T4" s="4">
        <f t="shared" si="3"/>
        <v>0</v>
      </c>
      <c r="U4" s="4">
        <f t="shared" si="3"/>
        <v>0</v>
      </c>
      <c r="V4" s="4">
        <f>IFERROR(__xludf.DUMMYFUNCTION("10*(COUNTA(FILTER($B$2:$I$50,$A$2:$A$50=1,$J$2:$J$50=L4))=8)"),10.0)</f>
        <v>10</v>
      </c>
      <c r="W4" s="4">
        <f>IFERROR(__xludf.DUMMYFUNCTION("10*(COUNTA(FILTER($B$2:$I$50,$A$2:$A$50=2,$J$2:$J$50=L4))=8)"),10.0)</f>
        <v>10</v>
      </c>
      <c r="X4" s="4">
        <f>IFERROR(__xludf.DUMMYFUNCTION("10*(COUNTA(FILTER($B$2:$I$50,$A$2:$A$50=3,$J$2:$J$50=L4))=8)"),0.0)</f>
        <v>0</v>
      </c>
      <c r="Y4" s="4">
        <f>IFERROR(__xludf.DUMMYFUNCTION("10*(COUNTA(FILTER($B$2:$I$50,$A$2:$A$50=4,$J$2:$J$50=L4))=8)"),0.0)</f>
        <v>0</v>
      </c>
      <c r="Z4" s="4">
        <f>IFERROR(__xludf.DUMMYFUNCTION("10*(COUNTA(FILTER($B$2:$I$50,$A$2:$A$50=5,$J$2:$J$50=L4))=8)"),0.0)</f>
        <v>0</v>
      </c>
      <c r="AA4" s="4">
        <f>IFERROR(__xludf.DUMMYFUNCTION("10*(COUNTA(FILTER($B$2:$I$50,$A$2:$A$50=6,$J$2:$J$50=L4))=8)"),0.0)</f>
        <v>0</v>
      </c>
      <c r="AB4" s="4">
        <f>IFERROR(__xludf.DUMMYFUNCTION("10*(COUNTA(FILTER($B$2:$I$50,$A$2:$A$50=7,$J$2:$J$50=L4))=8)"),0.0)</f>
        <v>0</v>
      </c>
      <c r="AC4" s="4">
        <f>IFERROR(__xludf.DUMMYFUNCTION("10*(COUNTA(FILTER($B$2:$I$50,$A$2:$A$50=8,$J$2:$J$50=L4))=8)"),0.0)</f>
        <v>0</v>
      </c>
    </row>
    <row r="5" ht="22.5" customHeight="1">
      <c r="A5" s="21">
        <v>3.0</v>
      </c>
      <c r="B5" s="23" t="s">
        <v>45</v>
      </c>
      <c r="D5" s="23" t="s">
        <v>76</v>
      </c>
      <c r="E5" s="23" t="s">
        <v>68</v>
      </c>
      <c r="F5" s="23" t="s">
        <v>87</v>
      </c>
      <c r="G5" s="23" t="s">
        <v>231</v>
      </c>
      <c r="H5" s="23" t="s">
        <v>64</v>
      </c>
      <c r="I5" s="23" t="s">
        <v>39</v>
      </c>
      <c r="J5" s="23" t="s">
        <v>151</v>
      </c>
      <c r="L5" s="4" t="s">
        <v>155</v>
      </c>
      <c r="M5" s="4">
        <f t="shared" si="2"/>
        <v>20</v>
      </c>
      <c r="N5" s="4">
        <f t="shared" ref="N5:U5" si="4">10*(COUNTIFS(B4:B52,"&lt;&gt;",$J4:$J52,$L5)=COUNTIF($J4:$J52,$L5))</f>
        <v>0</v>
      </c>
      <c r="O5" s="4">
        <f t="shared" si="4"/>
        <v>0</v>
      </c>
      <c r="P5" s="4">
        <f t="shared" si="4"/>
        <v>0</v>
      </c>
      <c r="Q5" s="4">
        <f t="shared" si="4"/>
        <v>0</v>
      </c>
      <c r="R5" s="4">
        <f t="shared" si="4"/>
        <v>0</v>
      </c>
      <c r="S5" s="4">
        <f t="shared" si="4"/>
        <v>0</v>
      </c>
      <c r="T5" s="4">
        <f t="shared" si="4"/>
        <v>0</v>
      </c>
      <c r="U5" s="4">
        <f t="shared" si="4"/>
        <v>10</v>
      </c>
      <c r="V5" s="4">
        <f>IFERROR(__xludf.DUMMYFUNCTION("10*(COUNTA(FILTER($B$2:$I$50,$A$2:$A$50=1,$J$2:$J$50=L5))=8)"),0.0)</f>
        <v>0</v>
      </c>
      <c r="W5" s="4">
        <f>IFERROR(__xludf.DUMMYFUNCTION("10*(COUNTA(FILTER($B$2:$I$50,$A$2:$A$50=2,$J$2:$J$50=L5))=8)"),0.0)</f>
        <v>0</v>
      </c>
      <c r="X5" s="4">
        <f>IFERROR(__xludf.DUMMYFUNCTION("10*(COUNTA(FILTER($B$2:$I$50,$A$2:$A$50=3,$J$2:$J$50=L5))=8)"),10.0)</f>
        <v>10</v>
      </c>
      <c r="Y5" s="4">
        <f>IFERROR(__xludf.DUMMYFUNCTION("10*(COUNTA(FILTER($B$2:$I$50,$A$2:$A$50=4,$J$2:$J$50=L5))=8)"),0.0)</f>
        <v>0</v>
      </c>
      <c r="Z5" s="4">
        <f>IFERROR(__xludf.DUMMYFUNCTION("10*(COUNTA(FILTER($B$2:$I$50,$A$2:$A$50=5,$J$2:$J$50=L5))=8)"),0.0)</f>
        <v>0</v>
      </c>
      <c r="AA5" s="4">
        <f>IFERROR(__xludf.DUMMYFUNCTION("10*(COUNTA(FILTER($B$2:$I$50,$A$2:$A$50=6,$J$2:$J$50=L5))=8)"),0.0)</f>
        <v>0</v>
      </c>
      <c r="AB5" s="4">
        <f>IFERROR(__xludf.DUMMYFUNCTION("10*(COUNTA(FILTER($B$2:$I$50,$A$2:$A$50=7,$J$2:$J$50=L5))=8)"),0.0)</f>
        <v>0</v>
      </c>
      <c r="AC5" s="4">
        <f>IFERROR(__xludf.DUMMYFUNCTION("10*(COUNTA(FILTER($B$2:$I$50,$A$2:$A$50=8,$J$2:$J$50=L5))=8)"),0.0)</f>
        <v>0</v>
      </c>
    </row>
    <row r="6" ht="22.5" customHeight="1">
      <c r="A6" s="21">
        <v>4.0</v>
      </c>
      <c r="B6" s="23" t="s">
        <v>52</v>
      </c>
      <c r="C6" s="23" t="s">
        <v>65</v>
      </c>
      <c r="D6" s="23" t="s">
        <v>59</v>
      </c>
      <c r="E6" s="23" t="s">
        <v>71</v>
      </c>
      <c r="F6" s="23" t="s">
        <v>83</v>
      </c>
      <c r="G6" s="23" t="s">
        <v>58</v>
      </c>
      <c r="H6" s="23" t="s">
        <v>74</v>
      </c>
      <c r="I6" s="23" t="s">
        <v>46</v>
      </c>
      <c r="J6" s="23" t="s">
        <v>151</v>
      </c>
      <c r="L6" s="4" t="s">
        <v>153</v>
      </c>
      <c r="M6" s="4">
        <f t="shared" si="2"/>
        <v>20</v>
      </c>
      <c r="N6" s="4">
        <f t="shared" ref="N6:U6" si="5">10*(COUNTIFS(B5:B53,"&lt;&gt;",$J5:$J53,$L6)=COUNTIF($J5:$J53,$L6))</f>
        <v>0</v>
      </c>
      <c r="O6" s="4">
        <f t="shared" si="5"/>
        <v>0</v>
      </c>
      <c r="P6" s="4">
        <f t="shared" si="5"/>
        <v>0</v>
      </c>
      <c r="Q6" s="4">
        <f t="shared" si="5"/>
        <v>0</v>
      </c>
      <c r="R6" s="4">
        <f t="shared" si="5"/>
        <v>0</v>
      </c>
      <c r="S6" s="4">
        <f t="shared" si="5"/>
        <v>0</v>
      </c>
      <c r="T6" s="4">
        <f t="shared" si="5"/>
        <v>0</v>
      </c>
      <c r="U6" s="4">
        <f t="shared" si="5"/>
        <v>0</v>
      </c>
      <c r="V6" s="4">
        <f>IFERROR(__xludf.DUMMYFUNCTION("10*(COUNTA(FILTER($B$2:$I$50,$A$2:$A$50=1,$J$2:$J$50=L6))=8)"),0.0)</f>
        <v>0</v>
      </c>
      <c r="W6" s="4">
        <f>IFERROR(__xludf.DUMMYFUNCTION("10*(COUNTA(FILTER($B$2:$I$50,$A$2:$A$50=2,$J$2:$J$50=L6))=8)"),0.0)</f>
        <v>0</v>
      </c>
      <c r="X6" s="4">
        <f>IFERROR(__xludf.DUMMYFUNCTION("10*(COUNTA(FILTER($B$2:$I$50,$A$2:$A$50=3,$J$2:$J$50=L6))=8)"),0.0)</f>
        <v>0</v>
      </c>
      <c r="Y6" s="4">
        <f>IFERROR(__xludf.DUMMYFUNCTION("10*(COUNTA(FILTER($B$2:$I$50,$A$2:$A$50=4,$J$2:$J$50=L6))=8)"),0.0)</f>
        <v>0</v>
      </c>
      <c r="Z6" s="4">
        <f>IFERROR(__xludf.DUMMYFUNCTION("10*(COUNTA(FILTER($B$2:$I$50,$A$2:$A$50=5,$J$2:$J$50=L6))=8)"),10.0)</f>
        <v>10</v>
      </c>
      <c r="AA6" s="4">
        <f>IFERROR(__xludf.DUMMYFUNCTION("10*(COUNTA(FILTER($B$2:$I$50,$A$2:$A$50=6,$J$2:$J$50=L6))=8)"),10.0)</f>
        <v>10</v>
      </c>
      <c r="AB6" s="4">
        <f>IFERROR(__xludf.DUMMYFUNCTION("10*(COUNTA(FILTER($B$2:$I$50,$A$2:$A$50=7,$J$2:$J$50=L6))=8)"),0.0)</f>
        <v>0</v>
      </c>
      <c r="AC6" s="4">
        <f>IFERROR(__xludf.DUMMYFUNCTION("10*(COUNTA(FILTER($B$2:$I$50,$A$2:$A$50=8,$J$2:$J$50=L6))=8)"),0.0)</f>
        <v>0</v>
      </c>
    </row>
    <row r="7" ht="22.5" customHeight="1">
      <c r="A7" s="21">
        <v>5.0</v>
      </c>
      <c r="G7" s="23" t="s">
        <v>48</v>
      </c>
      <c r="H7" s="23" t="s">
        <v>54</v>
      </c>
      <c r="I7" s="23" t="s">
        <v>232</v>
      </c>
      <c r="J7" s="23" t="s">
        <v>151</v>
      </c>
      <c r="L7" s="4" t="s">
        <v>156</v>
      </c>
      <c r="M7" s="4">
        <f t="shared" si="2"/>
        <v>0</v>
      </c>
      <c r="N7" s="4">
        <f t="shared" ref="N7:U7" si="6">10*(COUNTIFS(B6:B54,"&lt;&gt;",$J6:$J54,$L7)=COUNTIF($J6:$J54,$L7))</f>
        <v>0</v>
      </c>
      <c r="O7" s="4">
        <f t="shared" si="6"/>
        <v>0</v>
      </c>
      <c r="P7" s="4">
        <f t="shared" si="6"/>
        <v>0</v>
      </c>
      <c r="Q7" s="4">
        <f t="shared" si="6"/>
        <v>0</v>
      </c>
      <c r="R7" s="4">
        <f t="shared" si="6"/>
        <v>0</v>
      </c>
      <c r="S7" s="4">
        <f t="shared" si="6"/>
        <v>0</v>
      </c>
      <c r="T7" s="4">
        <f t="shared" si="6"/>
        <v>0</v>
      </c>
      <c r="U7" s="4">
        <f t="shared" si="6"/>
        <v>0</v>
      </c>
      <c r="V7" s="4">
        <f>IFERROR(__xludf.DUMMYFUNCTION("10*(COUNTA(FILTER($B$2:$I$50,$A$2:$A$50=1,$J$2:$J$50=L7))=8)"),0.0)</f>
        <v>0</v>
      </c>
      <c r="W7" s="4">
        <f>IFERROR(__xludf.DUMMYFUNCTION("10*(COUNTA(FILTER($B$2:$I$50,$A$2:$A$50=2,$J$2:$J$50=L7))=8)"),0.0)</f>
        <v>0</v>
      </c>
      <c r="X7" s="4">
        <f>IFERROR(__xludf.DUMMYFUNCTION("10*(COUNTA(FILTER($B$2:$I$50,$A$2:$A$50=3,$J$2:$J$50=L7))=8)"),0.0)</f>
        <v>0</v>
      </c>
      <c r="Y7" s="4">
        <f>IFERROR(__xludf.DUMMYFUNCTION("10*(COUNTA(FILTER($B$2:$I$50,$A$2:$A$50=4,$J$2:$J$50=L7))=8)"),0.0)</f>
        <v>0</v>
      </c>
      <c r="Z7" s="4">
        <f>IFERROR(__xludf.DUMMYFUNCTION("10*(COUNTA(FILTER($B$2:$I$50,$A$2:$A$50=5,$J$2:$J$50=L7))=8)"),0.0)</f>
        <v>0</v>
      </c>
      <c r="AA7" s="4">
        <f>IFERROR(__xludf.DUMMYFUNCTION("10*(COUNTA(FILTER($B$2:$I$50,$A$2:$A$50=6,$J$2:$J$50=L7))=8)"),0.0)</f>
        <v>0</v>
      </c>
      <c r="AB7" s="4">
        <f>IFERROR(__xludf.DUMMYFUNCTION("10*(COUNTA(FILTER($B$2:$I$50,$A$2:$A$50=7,$J$2:$J$50=L7))=8)"),0.0)</f>
        <v>0</v>
      </c>
      <c r="AC7" s="4">
        <f>IFERROR(__xludf.DUMMYFUNCTION("10*(COUNTA(FILTER($B$2:$I$50,$A$2:$A$50=8,$J$2:$J$50=L7))=8)"),0.0)</f>
        <v>0</v>
      </c>
    </row>
    <row r="8" ht="22.5" customHeight="1">
      <c r="A8" s="21">
        <v>6.0</v>
      </c>
      <c r="B8" s="23" t="s">
        <v>49</v>
      </c>
      <c r="I8" s="23" t="s">
        <v>51</v>
      </c>
      <c r="J8" s="23" t="s">
        <v>151</v>
      </c>
      <c r="L8" s="4" t="s">
        <v>233</v>
      </c>
      <c r="M8" s="4">
        <f t="shared" si="2"/>
        <v>160</v>
      </c>
      <c r="N8" s="4">
        <f t="shared" ref="N8:U8" si="7">10*(COUNTIFS(B7:B55,"&lt;&gt;",$J7:$J55,$L8)=COUNTIF($J7:$J55,$L8))</f>
        <v>10</v>
      </c>
      <c r="O8" s="4">
        <f t="shared" si="7"/>
        <v>10</v>
      </c>
      <c r="P8" s="4">
        <f t="shared" si="7"/>
        <v>10</v>
      </c>
      <c r="Q8" s="4">
        <f t="shared" si="7"/>
        <v>10</v>
      </c>
      <c r="R8" s="4">
        <f t="shared" si="7"/>
        <v>10</v>
      </c>
      <c r="S8" s="4">
        <f t="shared" si="7"/>
        <v>10</v>
      </c>
      <c r="T8" s="4">
        <f t="shared" si="7"/>
        <v>10</v>
      </c>
      <c r="U8" s="4">
        <f t="shared" si="7"/>
        <v>10</v>
      </c>
      <c r="V8" s="4">
        <f>IFERROR(__xludf.DUMMYFUNCTION("10*(COUNTA(FILTER($B$2:$I$50,$A$2:$A$50=1,$J$2:$J$50=L8))=8)"),10.0)</f>
        <v>10</v>
      </c>
      <c r="W8" s="4">
        <f>IFERROR(__xludf.DUMMYFUNCTION("10*(COUNTA(FILTER($B$2:$I$50,$A$2:$A$50=2,$J$2:$J$50=L8))=8)"),10.0)</f>
        <v>10</v>
      </c>
      <c r="X8" s="4">
        <f>IFERROR(__xludf.DUMMYFUNCTION("10*(COUNTA(FILTER($B$2:$I$50,$A$2:$A$50=3,$J$2:$J$50=L8))=8)"),10.0)</f>
        <v>10</v>
      </c>
      <c r="Y8" s="4">
        <f>IFERROR(__xludf.DUMMYFUNCTION("10*(COUNTA(FILTER($B$2:$I$50,$A$2:$A$50=4,$J$2:$J$50=L8))=8)"),10.0)</f>
        <v>10</v>
      </c>
      <c r="Z8" s="4">
        <f>IFERROR(__xludf.DUMMYFUNCTION("10*(COUNTA(FILTER($B$2:$I$50,$A$2:$A$50=5,$J$2:$J$50=L8))=8)"),10.0)</f>
        <v>10</v>
      </c>
      <c r="AA8" s="4">
        <f>IFERROR(__xludf.DUMMYFUNCTION("10*(COUNTA(FILTER($B$2:$I$50,$A$2:$A$50=6,$J$2:$J$50=L8))=8)"),10.0)</f>
        <v>10</v>
      </c>
      <c r="AB8" s="4">
        <f>IFERROR(__xludf.DUMMYFUNCTION("10*(COUNTA(FILTER($B$2:$I$50,$A$2:$A$50=7,$J$2:$J$50=L8))=8)"),10.0)</f>
        <v>10</v>
      </c>
      <c r="AC8" s="4">
        <f>IFERROR(__xludf.DUMMYFUNCTION("10*(COUNTA(FILTER($B$2:$I$50,$A$2:$A$50=8,$J$2:$J$50=L8))=8)"),10.0)</f>
        <v>10</v>
      </c>
    </row>
    <row r="9" ht="22.5" customHeight="1">
      <c r="A9" s="21">
        <v>7.0</v>
      </c>
      <c r="B9" s="23" t="s">
        <v>67</v>
      </c>
      <c r="G9" s="23" t="s">
        <v>75</v>
      </c>
      <c r="H9" s="23" t="s">
        <v>30</v>
      </c>
      <c r="J9" s="23" t="s">
        <v>151</v>
      </c>
    </row>
    <row r="10" ht="22.5" customHeight="1">
      <c r="A10" s="21">
        <v>8.0</v>
      </c>
      <c r="B10" s="23" t="s">
        <v>234</v>
      </c>
      <c r="J10" s="23" t="s">
        <v>151</v>
      </c>
    </row>
    <row r="11" ht="22.5" customHeight="1">
      <c r="A11" s="21">
        <v>1.0</v>
      </c>
      <c r="B11" s="23" t="s">
        <v>50</v>
      </c>
      <c r="C11" s="23" t="s">
        <v>55</v>
      </c>
      <c r="D11" s="23" t="s">
        <v>38</v>
      </c>
      <c r="E11" s="23" t="s">
        <v>29</v>
      </c>
      <c r="F11" s="23" t="s">
        <v>36</v>
      </c>
      <c r="G11" s="23" t="s">
        <v>18</v>
      </c>
      <c r="H11" s="23" t="s">
        <v>69</v>
      </c>
      <c r="I11" s="23" t="s">
        <v>27</v>
      </c>
      <c r="J11" s="26" t="s">
        <v>154</v>
      </c>
    </row>
    <row r="12" ht="22.5" customHeight="1">
      <c r="A12" s="21">
        <v>2.0</v>
      </c>
      <c r="B12" s="23" t="s">
        <v>35</v>
      </c>
      <c r="C12" s="23" t="s">
        <v>47</v>
      </c>
      <c r="D12" s="23" t="s">
        <v>53</v>
      </c>
      <c r="E12" s="23" t="s">
        <v>57</v>
      </c>
      <c r="F12" s="23" t="s">
        <v>78</v>
      </c>
      <c r="G12" s="23" t="s">
        <v>56</v>
      </c>
      <c r="H12" s="23" t="s">
        <v>44</v>
      </c>
      <c r="I12" s="23" t="s">
        <v>23</v>
      </c>
      <c r="J12" s="26" t="s">
        <v>154</v>
      </c>
    </row>
    <row r="13" ht="22.5" customHeight="1">
      <c r="A13" s="21">
        <v>3.0</v>
      </c>
      <c r="B13" s="23" t="s">
        <v>45</v>
      </c>
      <c r="C13" s="23" t="s">
        <v>32</v>
      </c>
      <c r="D13" s="23" t="s">
        <v>76</v>
      </c>
      <c r="E13" s="23" t="s">
        <v>68</v>
      </c>
      <c r="G13" s="23" t="s">
        <v>231</v>
      </c>
      <c r="I13" s="23" t="s">
        <v>39</v>
      </c>
      <c r="J13" s="26" t="s">
        <v>154</v>
      </c>
    </row>
    <row r="14" ht="22.5" customHeight="1">
      <c r="A14" s="21">
        <v>4.0</v>
      </c>
      <c r="B14" s="23" t="s">
        <v>52</v>
      </c>
      <c r="C14" s="23" t="s">
        <v>65</v>
      </c>
      <c r="D14" s="23" t="s">
        <v>59</v>
      </c>
      <c r="G14" s="23" t="s">
        <v>58</v>
      </c>
      <c r="I14" s="23" t="s">
        <v>46</v>
      </c>
      <c r="J14" s="26" t="s">
        <v>154</v>
      </c>
    </row>
    <row r="15" ht="22.5" customHeight="1">
      <c r="A15" s="21">
        <v>5.0</v>
      </c>
      <c r="G15" s="23" t="s">
        <v>48</v>
      </c>
      <c r="H15" s="23" t="s">
        <v>54</v>
      </c>
      <c r="I15" s="23" t="s">
        <v>232</v>
      </c>
      <c r="J15" s="26" t="s">
        <v>154</v>
      </c>
    </row>
    <row r="16" ht="22.5" customHeight="1">
      <c r="A16" s="21">
        <v>6.0</v>
      </c>
      <c r="G16" s="23" t="s">
        <v>70</v>
      </c>
      <c r="J16" s="26" t="s">
        <v>154</v>
      </c>
    </row>
    <row r="17" ht="22.5" customHeight="1">
      <c r="A17" s="21">
        <v>7.0</v>
      </c>
      <c r="G17" s="23" t="s">
        <v>75</v>
      </c>
      <c r="H17" s="23" t="s">
        <v>30</v>
      </c>
      <c r="I17" s="23" t="s">
        <v>24</v>
      </c>
      <c r="J17" s="26" t="s">
        <v>154</v>
      </c>
    </row>
    <row r="18" ht="22.5" customHeight="1">
      <c r="A18" s="21">
        <v>8.0</v>
      </c>
      <c r="B18" s="23" t="s">
        <v>234</v>
      </c>
      <c r="G18" s="23" t="s">
        <v>66</v>
      </c>
      <c r="H18" s="23" t="s">
        <v>86</v>
      </c>
      <c r="J18" s="26" t="s">
        <v>154</v>
      </c>
    </row>
    <row r="19" ht="22.5" customHeight="1">
      <c r="A19" s="27">
        <v>1.0</v>
      </c>
      <c r="B19" s="28" t="s">
        <v>50</v>
      </c>
      <c r="C19" s="28" t="s">
        <v>55</v>
      </c>
      <c r="D19" s="28" t="s">
        <v>38</v>
      </c>
      <c r="E19" s="28" t="s">
        <v>29</v>
      </c>
      <c r="F19" s="28"/>
      <c r="G19" s="28"/>
      <c r="H19" s="28"/>
      <c r="I19" s="28" t="s">
        <v>27</v>
      </c>
      <c r="J19" s="26" t="s">
        <v>155</v>
      </c>
    </row>
    <row r="20" ht="22.5" customHeight="1">
      <c r="A20" s="29">
        <v>2.0</v>
      </c>
      <c r="B20" s="30" t="s">
        <v>35</v>
      </c>
      <c r="C20" s="30" t="s">
        <v>47</v>
      </c>
      <c r="D20" s="30" t="s">
        <v>53</v>
      </c>
      <c r="E20" s="30" t="s">
        <v>57</v>
      </c>
      <c r="F20" s="30"/>
      <c r="G20" s="30"/>
      <c r="H20" s="30"/>
      <c r="I20" s="30" t="s">
        <v>23</v>
      </c>
      <c r="J20" s="26" t="s">
        <v>155</v>
      </c>
    </row>
    <row r="21" ht="22.5" customHeight="1">
      <c r="A21" s="27">
        <v>3.0</v>
      </c>
      <c r="B21" s="28" t="s">
        <v>45</v>
      </c>
      <c r="C21" s="28" t="s">
        <v>32</v>
      </c>
      <c r="D21" s="28" t="s">
        <v>76</v>
      </c>
      <c r="E21" s="28" t="s">
        <v>68</v>
      </c>
      <c r="F21" s="28" t="s">
        <v>87</v>
      </c>
      <c r="G21" s="28" t="s">
        <v>231</v>
      </c>
      <c r="H21" s="28" t="s">
        <v>64</v>
      </c>
      <c r="I21" s="28" t="s">
        <v>39</v>
      </c>
      <c r="J21" s="26" t="s">
        <v>155</v>
      </c>
    </row>
    <row r="22" ht="22.5" customHeight="1">
      <c r="A22" s="29">
        <v>4.0</v>
      </c>
      <c r="B22" s="30"/>
      <c r="C22" s="30"/>
      <c r="D22" s="30" t="s">
        <v>59</v>
      </c>
      <c r="E22" s="30"/>
      <c r="F22" s="30"/>
      <c r="G22" s="30" t="s">
        <v>58</v>
      </c>
      <c r="H22" s="30"/>
      <c r="I22" s="30" t="s">
        <v>46</v>
      </c>
      <c r="J22" s="26" t="s">
        <v>155</v>
      </c>
    </row>
    <row r="23" ht="22.5" customHeight="1">
      <c r="A23" s="27">
        <v>5.0</v>
      </c>
      <c r="B23" s="28" t="s">
        <v>235</v>
      </c>
      <c r="C23" s="28" t="s">
        <v>26</v>
      </c>
      <c r="D23" s="28" t="s">
        <v>61</v>
      </c>
      <c r="E23" s="28"/>
      <c r="F23" s="28" t="s">
        <v>85</v>
      </c>
      <c r="G23" s="28" t="s">
        <v>48</v>
      </c>
      <c r="H23" s="28" t="s">
        <v>54</v>
      </c>
      <c r="I23" s="28" t="s">
        <v>232</v>
      </c>
      <c r="J23" s="26" t="s">
        <v>155</v>
      </c>
    </row>
    <row r="24" ht="22.5" customHeight="1">
      <c r="A24" s="29">
        <v>6.0</v>
      </c>
      <c r="B24" s="30"/>
      <c r="C24" s="30" t="s">
        <v>43</v>
      </c>
      <c r="D24" s="30"/>
      <c r="E24" s="30" t="s">
        <v>79</v>
      </c>
      <c r="F24" s="30"/>
      <c r="G24" s="30"/>
      <c r="H24" s="30" t="s">
        <v>60</v>
      </c>
      <c r="I24" s="30" t="s">
        <v>51</v>
      </c>
      <c r="J24" s="26" t="s">
        <v>155</v>
      </c>
    </row>
    <row r="25" ht="22.5" customHeight="1">
      <c r="A25" s="27">
        <v>7.0</v>
      </c>
      <c r="B25" s="28" t="s">
        <v>67</v>
      </c>
      <c r="C25" s="28"/>
      <c r="D25" s="28"/>
      <c r="E25" s="28"/>
      <c r="F25" s="28"/>
      <c r="G25" s="28"/>
      <c r="H25" s="28" t="s">
        <v>30</v>
      </c>
      <c r="I25" s="28" t="s">
        <v>24</v>
      </c>
      <c r="J25" s="26" t="s">
        <v>155</v>
      </c>
    </row>
    <row r="26" ht="22.5" customHeight="1">
      <c r="A26" s="31">
        <v>8.0</v>
      </c>
      <c r="B26" s="23" t="s">
        <v>234</v>
      </c>
      <c r="C26" s="32"/>
      <c r="D26" s="32"/>
      <c r="E26" s="32"/>
      <c r="F26" s="32"/>
      <c r="G26" s="32"/>
      <c r="H26" s="32"/>
      <c r="I26" s="32" t="s">
        <v>62</v>
      </c>
      <c r="J26" s="26" t="s">
        <v>155</v>
      </c>
    </row>
    <row r="27" ht="22.5" customHeight="1">
      <c r="A27" s="27">
        <v>1.0</v>
      </c>
      <c r="B27" s="28"/>
      <c r="C27" s="28" t="s">
        <v>55</v>
      </c>
      <c r="D27" s="28"/>
      <c r="E27" s="28"/>
      <c r="F27" s="28"/>
      <c r="G27" s="28" t="s">
        <v>18</v>
      </c>
      <c r="H27" s="28" t="s">
        <v>69</v>
      </c>
      <c r="I27" s="28" t="s">
        <v>27</v>
      </c>
      <c r="J27" s="26" t="s">
        <v>153</v>
      </c>
    </row>
    <row r="28" ht="22.5" customHeight="1">
      <c r="A28" s="29">
        <v>2.0</v>
      </c>
      <c r="B28" s="30"/>
      <c r="C28" s="30" t="s">
        <v>47</v>
      </c>
      <c r="D28" s="30" t="s">
        <v>53</v>
      </c>
      <c r="E28" s="30"/>
      <c r="F28" s="30"/>
      <c r="G28" s="30" t="s">
        <v>56</v>
      </c>
      <c r="H28" s="30" t="s">
        <v>44</v>
      </c>
      <c r="I28" s="30" t="s">
        <v>23</v>
      </c>
      <c r="J28" s="26" t="s">
        <v>153</v>
      </c>
    </row>
    <row r="29" ht="22.5" customHeight="1">
      <c r="A29" s="27">
        <v>3.0</v>
      </c>
      <c r="B29" s="28"/>
      <c r="C29" s="28" t="s">
        <v>32</v>
      </c>
      <c r="D29" s="28" t="s">
        <v>76</v>
      </c>
      <c r="E29" s="28"/>
      <c r="F29" s="28"/>
      <c r="G29" s="28"/>
      <c r="H29" s="28"/>
      <c r="I29" s="28" t="s">
        <v>39</v>
      </c>
      <c r="J29" s="26" t="s">
        <v>153</v>
      </c>
    </row>
    <row r="30" ht="22.5" customHeight="1">
      <c r="A30" s="29">
        <v>4.0</v>
      </c>
      <c r="B30" s="30"/>
      <c r="C30" s="30"/>
      <c r="D30" s="30"/>
      <c r="E30" s="30" t="s">
        <v>71</v>
      </c>
      <c r="F30" s="30"/>
      <c r="G30" s="30"/>
      <c r="H30" s="30" t="s">
        <v>74</v>
      </c>
      <c r="I30" s="30" t="s">
        <v>46</v>
      </c>
      <c r="J30" s="26" t="s">
        <v>153</v>
      </c>
    </row>
    <row r="31" ht="22.5" customHeight="1">
      <c r="A31" s="27">
        <v>5.0</v>
      </c>
      <c r="B31" s="28" t="s">
        <v>235</v>
      </c>
      <c r="C31" s="28" t="s">
        <v>26</v>
      </c>
      <c r="D31" s="28" t="s">
        <v>61</v>
      </c>
      <c r="E31" s="28" t="s">
        <v>73</v>
      </c>
      <c r="F31" s="28" t="s">
        <v>85</v>
      </c>
      <c r="G31" s="28" t="s">
        <v>48</v>
      </c>
      <c r="H31" s="28" t="s">
        <v>54</v>
      </c>
      <c r="I31" s="28" t="s">
        <v>232</v>
      </c>
      <c r="J31" s="26" t="s">
        <v>153</v>
      </c>
    </row>
    <row r="32" ht="22.5" customHeight="1">
      <c r="A32" s="29">
        <v>6.0</v>
      </c>
      <c r="B32" s="30" t="s">
        <v>49</v>
      </c>
      <c r="C32" s="30" t="s">
        <v>43</v>
      </c>
      <c r="D32" s="30" t="s">
        <v>20</v>
      </c>
      <c r="E32" s="30" t="s">
        <v>79</v>
      </c>
      <c r="F32" s="30" t="s">
        <v>41</v>
      </c>
      <c r="G32" s="30" t="s">
        <v>70</v>
      </c>
      <c r="H32" s="30" t="s">
        <v>60</v>
      </c>
      <c r="I32" s="30" t="s">
        <v>51</v>
      </c>
      <c r="J32" s="26" t="s">
        <v>153</v>
      </c>
    </row>
    <row r="33" ht="22.5" customHeight="1">
      <c r="A33" s="27">
        <v>7.0</v>
      </c>
      <c r="B33" s="28" t="s">
        <v>67</v>
      </c>
      <c r="C33" s="28"/>
      <c r="D33" s="28"/>
      <c r="E33" s="28"/>
      <c r="F33" s="28" t="s">
        <v>63</v>
      </c>
      <c r="G33" s="28" t="s">
        <v>75</v>
      </c>
      <c r="H33" s="28" t="s">
        <v>30</v>
      </c>
      <c r="I33" s="28"/>
      <c r="J33" s="26" t="s">
        <v>153</v>
      </c>
    </row>
    <row r="34" ht="22.5" customHeight="1">
      <c r="A34" s="31">
        <v>8.0</v>
      </c>
      <c r="B34" s="23" t="s">
        <v>234</v>
      </c>
      <c r="C34" s="32"/>
      <c r="D34" s="32"/>
      <c r="E34" s="32"/>
      <c r="F34" s="32"/>
      <c r="G34" s="32"/>
      <c r="H34" s="32"/>
      <c r="I34" s="32"/>
      <c r="J34" s="26" t="s">
        <v>153</v>
      </c>
    </row>
    <row r="35" ht="22.5" customHeight="1">
      <c r="A35" s="27">
        <v>1.0</v>
      </c>
      <c r="B35" s="28" t="s">
        <v>50</v>
      </c>
      <c r="C35" s="28"/>
      <c r="D35" s="28"/>
      <c r="E35" s="28"/>
      <c r="F35" s="28" t="s">
        <v>36</v>
      </c>
      <c r="G35" s="28" t="s">
        <v>18</v>
      </c>
      <c r="H35" s="28"/>
      <c r="I35" s="28"/>
      <c r="J35" s="26" t="s">
        <v>156</v>
      </c>
    </row>
    <row r="36" ht="22.5" customHeight="1">
      <c r="A36" s="29">
        <v>2.0</v>
      </c>
      <c r="B36" s="30" t="s">
        <v>35</v>
      </c>
      <c r="C36" s="30" t="s">
        <v>47</v>
      </c>
      <c r="D36" s="30" t="s">
        <v>53</v>
      </c>
      <c r="E36" s="30" t="s">
        <v>57</v>
      </c>
      <c r="F36" s="30"/>
      <c r="G36" s="30" t="s">
        <v>56</v>
      </c>
      <c r="H36" s="30" t="s">
        <v>44</v>
      </c>
      <c r="I36" s="30" t="s">
        <v>23</v>
      </c>
      <c r="J36" s="26" t="s">
        <v>156</v>
      </c>
    </row>
    <row r="37" ht="22.5" customHeight="1">
      <c r="A37" s="27">
        <v>3.0</v>
      </c>
      <c r="B37" s="28" t="s">
        <v>45</v>
      </c>
      <c r="C37" s="28" t="s">
        <v>32</v>
      </c>
      <c r="D37" s="28" t="s">
        <v>76</v>
      </c>
      <c r="E37" s="28"/>
      <c r="F37" s="28"/>
      <c r="G37" s="28" t="s">
        <v>231</v>
      </c>
      <c r="H37" s="28"/>
      <c r="I37" s="28" t="s">
        <v>39</v>
      </c>
      <c r="J37" s="26" t="s">
        <v>156</v>
      </c>
    </row>
    <row r="38" ht="22.5" customHeight="1">
      <c r="A38" s="29">
        <v>4.0</v>
      </c>
      <c r="B38" s="30" t="s">
        <v>52</v>
      </c>
      <c r="C38" s="30" t="s">
        <v>65</v>
      </c>
      <c r="D38" s="30" t="s">
        <v>59</v>
      </c>
      <c r="E38" s="30"/>
      <c r="F38" s="30" t="s">
        <v>83</v>
      </c>
      <c r="G38" s="30" t="s">
        <v>58</v>
      </c>
      <c r="H38" s="30" t="s">
        <v>74</v>
      </c>
      <c r="I38" s="30" t="s">
        <v>46</v>
      </c>
      <c r="J38" s="26" t="s">
        <v>156</v>
      </c>
    </row>
    <row r="39" ht="22.5" customHeight="1">
      <c r="A39" s="27">
        <v>5.0</v>
      </c>
      <c r="B39" s="28" t="s">
        <v>235</v>
      </c>
      <c r="C39" s="28" t="s">
        <v>26</v>
      </c>
      <c r="D39" s="28" t="s">
        <v>61</v>
      </c>
      <c r="E39" s="28" t="s">
        <v>73</v>
      </c>
      <c r="F39" s="28" t="s">
        <v>85</v>
      </c>
      <c r="G39" s="28" t="s">
        <v>48</v>
      </c>
      <c r="H39" s="28"/>
      <c r="I39" s="28"/>
      <c r="J39" s="26" t="s">
        <v>156</v>
      </c>
    </row>
    <row r="40" ht="22.5" customHeight="1">
      <c r="A40" s="29">
        <v>6.0</v>
      </c>
      <c r="B40" s="30" t="s">
        <v>49</v>
      </c>
      <c r="C40" s="30" t="s">
        <v>43</v>
      </c>
      <c r="D40" s="30"/>
      <c r="E40" s="30" t="s">
        <v>79</v>
      </c>
      <c r="F40" s="30" t="s">
        <v>41</v>
      </c>
      <c r="G40" s="30" t="s">
        <v>70</v>
      </c>
      <c r="H40" s="30"/>
      <c r="I40" s="30"/>
      <c r="J40" s="26" t="s">
        <v>156</v>
      </c>
    </row>
    <row r="41" ht="22.5" customHeight="1">
      <c r="A41" s="27">
        <v>7.0</v>
      </c>
      <c r="B41" s="28"/>
      <c r="C41" s="28"/>
      <c r="D41" s="28"/>
      <c r="E41" s="28" t="s">
        <v>84</v>
      </c>
      <c r="F41" s="28" t="s">
        <v>63</v>
      </c>
      <c r="G41" s="28"/>
      <c r="H41" s="28" t="s">
        <v>30</v>
      </c>
      <c r="I41" s="28"/>
      <c r="J41" s="26" t="s">
        <v>156</v>
      </c>
    </row>
    <row r="42" ht="22.5" customHeight="1">
      <c r="A42" s="31">
        <v>8.0</v>
      </c>
      <c r="B42" s="23" t="s">
        <v>234</v>
      </c>
      <c r="C42" s="32"/>
      <c r="D42" s="32"/>
      <c r="E42" s="32"/>
      <c r="F42" s="32"/>
      <c r="G42" s="32"/>
      <c r="H42" s="32"/>
      <c r="I42" s="32"/>
      <c r="J42" s="26" t="s">
        <v>156</v>
      </c>
    </row>
    <row r="43" ht="22.5" customHeight="1">
      <c r="A43" s="27">
        <v>1.0</v>
      </c>
      <c r="B43" s="28" t="s">
        <v>50</v>
      </c>
      <c r="C43" s="28" t="s">
        <v>55</v>
      </c>
      <c r="D43" s="28" t="s">
        <v>38</v>
      </c>
      <c r="E43" s="28" t="s">
        <v>29</v>
      </c>
      <c r="F43" s="28" t="s">
        <v>36</v>
      </c>
      <c r="G43" s="28" t="s">
        <v>18</v>
      </c>
      <c r="H43" s="28" t="s">
        <v>69</v>
      </c>
      <c r="I43" s="28" t="s">
        <v>27</v>
      </c>
      <c r="J43" s="26" t="s">
        <v>233</v>
      </c>
    </row>
    <row r="44" ht="22.5" customHeight="1">
      <c r="A44" s="29">
        <v>2.0</v>
      </c>
      <c r="B44" s="30" t="s">
        <v>35</v>
      </c>
      <c r="C44" s="30" t="s">
        <v>47</v>
      </c>
      <c r="D44" s="30" t="s">
        <v>53</v>
      </c>
      <c r="E44" s="30" t="s">
        <v>57</v>
      </c>
      <c r="F44" s="30" t="s">
        <v>78</v>
      </c>
      <c r="G44" s="30" t="s">
        <v>56</v>
      </c>
      <c r="H44" s="30" t="s">
        <v>44</v>
      </c>
      <c r="I44" s="30" t="s">
        <v>23</v>
      </c>
      <c r="J44" s="26" t="s">
        <v>233</v>
      </c>
    </row>
    <row r="45" ht="22.5" customHeight="1">
      <c r="A45" s="27">
        <v>3.0</v>
      </c>
      <c r="B45" s="28" t="s">
        <v>45</v>
      </c>
      <c r="C45" s="28" t="s">
        <v>32</v>
      </c>
      <c r="D45" s="28" t="s">
        <v>76</v>
      </c>
      <c r="E45" s="28" t="s">
        <v>68</v>
      </c>
      <c r="F45" s="28" t="s">
        <v>87</v>
      </c>
      <c r="G45" s="28" t="s">
        <v>231</v>
      </c>
      <c r="H45" s="28" t="s">
        <v>64</v>
      </c>
      <c r="I45" s="28" t="s">
        <v>39</v>
      </c>
      <c r="J45" s="26" t="s">
        <v>233</v>
      </c>
    </row>
    <row r="46" ht="22.5" customHeight="1">
      <c r="A46" s="29">
        <v>4.0</v>
      </c>
      <c r="B46" s="30" t="s">
        <v>52</v>
      </c>
      <c r="C46" s="30" t="s">
        <v>65</v>
      </c>
      <c r="D46" s="30" t="s">
        <v>59</v>
      </c>
      <c r="E46" s="30" t="s">
        <v>71</v>
      </c>
      <c r="F46" s="30" t="s">
        <v>83</v>
      </c>
      <c r="G46" s="30" t="s">
        <v>58</v>
      </c>
      <c r="H46" s="30" t="s">
        <v>74</v>
      </c>
      <c r="I46" s="30" t="s">
        <v>46</v>
      </c>
      <c r="J46" s="26" t="s">
        <v>233</v>
      </c>
    </row>
    <row r="47" ht="22.5" customHeight="1">
      <c r="A47" s="27">
        <v>5.0</v>
      </c>
      <c r="B47" s="28" t="s">
        <v>235</v>
      </c>
      <c r="C47" s="28" t="s">
        <v>26</v>
      </c>
      <c r="D47" s="28" t="s">
        <v>61</v>
      </c>
      <c r="E47" s="28" t="s">
        <v>73</v>
      </c>
      <c r="F47" s="28" t="s">
        <v>85</v>
      </c>
      <c r="G47" s="28" t="s">
        <v>48</v>
      </c>
      <c r="H47" s="28" t="s">
        <v>54</v>
      </c>
      <c r="I47" s="28" t="s">
        <v>232</v>
      </c>
      <c r="J47" s="26" t="s">
        <v>233</v>
      </c>
    </row>
    <row r="48" ht="22.5" customHeight="1">
      <c r="A48" s="29">
        <v>6.0</v>
      </c>
      <c r="B48" s="30" t="s">
        <v>49</v>
      </c>
      <c r="C48" s="30" t="s">
        <v>43</v>
      </c>
      <c r="D48" s="30" t="s">
        <v>20</v>
      </c>
      <c r="E48" s="30" t="s">
        <v>79</v>
      </c>
      <c r="F48" s="30" t="s">
        <v>41</v>
      </c>
      <c r="G48" s="30" t="s">
        <v>70</v>
      </c>
      <c r="H48" s="30" t="s">
        <v>60</v>
      </c>
      <c r="I48" s="30" t="s">
        <v>51</v>
      </c>
      <c r="J48" s="26" t="s">
        <v>233</v>
      </c>
    </row>
    <row r="49" ht="22.5" customHeight="1">
      <c r="A49" s="27">
        <v>7.0</v>
      </c>
      <c r="B49" s="28" t="s">
        <v>67</v>
      </c>
      <c r="C49" s="28" t="s">
        <v>77</v>
      </c>
      <c r="D49" s="28" t="s">
        <v>80</v>
      </c>
      <c r="E49" s="28" t="s">
        <v>84</v>
      </c>
      <c r="F49" s="28" t="s">
        <v>63</v>
      </c>
      <c r="G49" s="28" t="s">
        <v>75</v>
      </c>
      <c r="H49" s="28" t="s">
        <v>30</v>
      </c>
      <c r="I49" s="28" t="s">
        <v>24</v>
      </c>
      <c r="J49" s="26" t="s">
        <v>233</v>
      </c>
    </row>
    <row r="50" ht="22.5" customHeight="1">
      <c r="A50" s="31">
        <v>8.0</v>
      </c>
      <c r="B50" s="23" t="s">
        <v>234</v>
      </c>
      <c r="C50" s="32" t="s">
        <v>81</v>
      </c>
      <c r="D50" s="32" t="s">
        <v>17</v>
      </c>
      <c r="E50" s="32" t="s">
        <v>82</v>
      </c>
      <c r="F50" s="32" t="s">
        <v>21</v>
      </c>
      <c r="G50" s="32" t="s">
        <v>66</v>
      </c>
      <c r="H50" s="32" t="s">
        <v>86</v>
      </c>
      <c r="I50" s="32" t="s">
        <v>62</v>
      </c>
      <c r="J50" s="26" t="s">
        <v>233</v>
      </c>
    </row>
  </sheetData>
  <dataValidations>
    <dataValidation type="custom" allowBlank="1" showDropDown="1" sqref="A3:A50">
      <formula1>AND(ISNUMBER(A3),(NOT(OR(NOT(ISERROR(DATEVALUE(A3))), AND(ISNUMBER(A3), LEFT(CELL("format", A3))="D")))))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2" t="s">
        <v>193</v>
      </c>
      <c r="B1" s="1" t="s">
        <v>236</v>
      </c>
      <c r="C1" s="1" t="s">
        <v>237</v>
      </c>
      <c r="D1" s="18" t="s">
        <v>238</v>
      </c>
      <c r="E1" s="18" t="s">
        <v>239</v>
      </c>
      <c r="F1" s="18" t="s">
        <v>240</v>
      </c>
      <c r="G1" s="33" t="s">
        <v>241</v>
      </c>
    </row>
    <row r="2" ht="22.5" customHeight="1">
      <c r="A2" s="34" t="s">
        <v>242</v>
      </c>
      <c r="B2" s="35">
        <v>1865.0</v>
      </c>
      <c r="C2" s="14">
        <v>30.0</v>
      </c>
      <c r="D2" s="19"/>
      <c r="E2" s="19"/>
      <c r="F2" s="19"/>
      <c r="G2" s="19"/>
    </row>
    <row r="3" ht="22.5" customHeight="1">
      <c r="A3" s="34" t="s">
        <v>242</v>
      </c>
      <c r="B3" s="36">
        <v>1868.0</v>
      </c>
      <c r="C3" s="14">
        <v>35.0</v>
      </c>
      <c r="D3" s="19"/>
      <c r="E3" s="19"/>
      <c r="F3" s="19"/>
      <c r="G3" s="19"/>
    </row>
    <row r="4" ht="22.5" customHeight="1">
      <c r="A4" s="34" t="s">
        <v>242</v>
      </c>
      <c r="B4" s="35">
        <v>1871.0</v>
      </c>
      <c r="C4" s="14">
        <v>40.0</v>
      </c>
      <c r="D4" s="19"/>
      <c r="E4" s="19"/>
      <c r="F4" s="19"/>
      <c r="G4" s="19"/>
    </row>
    <row r="5" ht="22.5" customHeight="1">
      <c r="A5" s="34" t="s">
        <v>242</v>
      </c>
      <c r="B5" s="36">
        <v>1874.0</v>
      </c>
      <c r="C5" s="14">
        <v>50.0</v>
      </c>
      <c r="D5" s="19"/>
      <c r="E5" s="19"/>
      <c r="F5" s="19"/>
      <c r="G5" s="19"/>
    </row>
    <row r="6" ht="22.5" customHeight="1">
      <c r="A6" s="34" t="s">
        <v>242</v>
      </c>
      <c r="B6" s="35">
        <v>1877.0</v>
      </c>
      <c r="C6" s="14">
        <v>60.0</v>
      </c>
      <c r="D6" s="19"/>
      <c r="E6" s="19"/>
      <c r="F6" s="19"/>
      <c r="G6" s="19"/>
    </row>
    <row r="7" ht="22.5" customHeight="1">
      <c r="A7" s="34" t="s">
        <v>242</v>
      </c>
      <c r="B7" s="36">
        <v>1880.0</v>
      </c>
      <c r="C7" s="14">
        <v>70.0</v>
      </c>
      <c r="D7" s="19"/>
      <c r="E7" s="19"/>
      <c r="F7" s="19"/>
      <c r="G7" s="19"/>
    </row>
    <row r="8" ht="22.5" customHeight="1">
      <c r="A8" s="34" t="s">
        <v>242</v>
      </c>
      <c r="B8" s="35">
        <v>1883.0</v>
      </c>
      <c r="C8" s="14">
        <v>80.0</v>
      </c>
      <c r="D8" s="19"/>
      <c r="E8" s="19"/>
      <c r="F8" s="19"/>
      <c r="G8" s="19"/>
    </row>
    <row r="9" ht="22.5" customHeight="1">
      <c r="A9" s="34" t="s">
        <v>242</v>
      </c>
      <c r="B9" s="36">
        <v>1886.0</v>
      </c>
      <c r="C9" s="14">
        <v>90.0</v>
      </c>
      <c r="D9" s="19"/>
      <c r="E9" s="19"/>
      <c r="F9" s="19"/>
      <c r="G9" s="19"/>
    </row>
    <row r="10" ht="22.5" customHeight="1">
      <c r="A10" s="34" t="s">
        <v>242</v>
      </c>
      <c r="B10" s="35">
        <v>1889.0</v>
      </c>
      <c r="C10" s="14">
        <v>100.0</v>
      </c>
      <c r="D10" s="19"/>
      <c r="E10" s="19"/>
      <c r="F10" s="19"/>
      <c r="G10" s="19"/>
    </row>
    <row r="11" ht="22.5" customHeight="1">
      <c r="A11" s="34" t="s">
        <v>242</v>
      </c>
      <c r="B11" s="36">
        <v>1892.0</v>
      </c>
      <c r="C11" s="14">
        <v>110.0</v>
      </c>
      <c r="D11" s="19"/>
      <c r="E11" s="19"/>
      <c r="F11" s="19"/>
      <c r="G11" s="19"/>
    </row>
    <row r="12" ht="22.5" customHeight="1">
      <c r="A12" s="34" t="s">
        <v>242</v>
      </c>
      <c r="B12" s="35">
        <v>1895.0</v>
      </c>
      <c r="C12" s="14">
        <v>120.0</v>
      </c>
      <c r="D12" s="19"/>
      <c r="E12" s="19"/>
      <c r="F12" s="19"/>
      <c r="G12" s="19"/>
    </row>
    <row r="13" ht="22.5" customHeight="1">
      <c r="A13" s="34" t="s">
        <v>242</v>
      </c>
      <c r="B13" s="37">
        <v>1898.0</v>
      </c>
      <c r="C13" s="14">
        <v>140.0</v>
      </c>
      <c r="D13" s="19"/>
      <c r="E13" s="19"/>
      <c r="F13" s="19"/>
      <c r="G13" s="19"/>
    </row>
    <row r="14" ht="22.5" customHeight="1">
      <c r="A14" s="15" t="s">
        <v>151</v>
      </c>
      <c r="B14" s="35">
        <v>1865.0</v>
      </c>
      <c r="C14" s="38">
        <f t="shared" ref="C14:C73" si="1">sum(D14:G14)</f>
        <v>0</v>
      </c>
      <c r="D14" s="15">
        <v>7.0</v>
      </c>
      <c r="E14" s="15">
        <v>6.0</v>
      </c>
      <c r="F14" s="15">
        <v>-13.0</v>
      </c>
      <c r="G14" s="19"/>
    </row>
    <row r="15" ht="22.5" customHeight="1">
      <c r="A15" s="15" t="s">
        <v>151</v>
      </c>
      <c r="B15" s="36">
        <v>1868.0</v>
      </c>
      <c r="C15" s="38">
        <f t="shared" si="1"/>
        <v>30</v>
      </c>
      <c r="D15" s="15">
        <v>9.0</v>
      </c>
      <c r="E15" s="15">
        <v>9.0</v>
      </c>
      <c r="F15" s="15">
        <v>12.0</v>
      </c>
      <c r="G15" s="19"/>
    </row>
    <row r="16" ht="22.5" customHeight="1">
      <c r="A16" s="15" t="s">
        <v>151</v>
      </c>
      <c r="B16" s="35">
        <v>1871.0</v>
      </c>
      <c r="C16" s="38">
        <f t="shared" si="1"/>
        <v>33</v>
      </c>
      <c r="D16" s="15">
        <v>11.0</v>
      </c>
      <c r="E16" s="15">
        <v>6.0</v>
      </c>
      <c r="F16" s="15">
        <v>16.0</v>
      </c>
      <c r="G16" s="19"/>
    </row>
    <row r="17" ht="22.5" customHeight="1">
      <c r="A17" s="15" t="s">
        <v>151</v>
      </c>
      <c r="B17" s="36">
        <v>1874.0</v>
      </c>
      <c r="C17" s="38">
        <f t="shared" si="1"/>
        <v>51</v>
      </c>
      <c r="D17" s="15">
        <v>26.0</v>
      </c>
      <c r="E17" s="15">
        <v>2.0</v>
      </c>
      <c r="F17" s="15">
        <v>23.0</v>
      </c>
      <c r="G17" s="19"/>
    </row>
    <row r="18" ht="22.5" customHeight="1">
      <c r="A18" s="15" t="s">
        <v>151</v>
      </c>
      <c r="B18" s="35">
        <v>1877.0</v>
      </c>
      <c r="C18" s="38">
        <f t="shared" si="1"/>
        <v>52</v>
      </c>
      <c r="D18" s="15">
        <v>14.0</v>
      </c>
      <c r="E18" s="15">
        <v>4.0</v>
      </c>
      <c r="F18" s="15">
        <v>34.0</v>
      </c>
      <c r="G18" s="19"/>
    </row>
    <row r="19" ht="22.5" customHeight="1">
      <c r="A19" s="15" t="s">
        <v>151</v>
      </c>
      <c r="B19" s="36">
        <v>1880.0</v>
      </c>
      <c r="C19" s="38">
        <f t="shared" si="1"/>
        <v>73</v>
      </c>
      <c r="D19" s="15">
        <v>25.0</v>
      </c>
      <c r="E19" s="15">
        <v>9.0</v>
      </c>
      <c r="F19" s="15">
        <v>37.0</v>
      </c>
      <c r="G19" s="15">
        <v>2.0</v>
      </c>
    </row>
    <row r="20" ht="22.5" customHeight="1">
      <c r="A20" s="15" t="s">
        <v>151</v>
      </c>
      <c r="B20" s="35">
        <v>1883.0</v>
      </c>
      <c r="C20" s="38">
        <f t="shared" si="1"/>
        <v>97</v>
      </c>
      <c r="D20" s="15">
        <v>44.0</v>
      </c>
      <c r="E20" s="15">
        <v>7.0</v>
      </c>
      <c r="F20" s="15">
        <v>46.0</v>
      </c>
      <c r="G20" s="39"/>
    </row>
    <row r="21" ht="22.5" customHeight="1">
      <c r="A21" s="15" t="s">
        <v>151</v>
      </c>
      <c r="B21" s="36">
        <v>1886.0</v>
      </c>
      <c r="C21" s="38">
        <f t="shared" si="1"/>
        <v>67</v>
      </c>
      <c r="D21" s="15">
        <v>26.0</v>
      </c>
      <c r="E21" s="15">
        <v>4.0</v>
      </c>
      <c r="F21" s="15">
        <v>37.0</v>
      </c>
      <c r="G21" s="19"/>
    </row>
    <row r="22" ht="22.5" customHeight="1">
      <c r="A22" s="15" t="s">
        <v>151</v>
      </c>
      <c r="B22" s="35">
        <v>1889.0</v>
      </c>
      <c r="C22" s="38">
        <f t="shared" si="1"/>
        <v>126</v>
      </c>
      <c r="D22" s="15">
        <v>50.0</v>
      </c>
      <c r="E22" s="15">
        <v>0.0</v>
      </c>
      <c r="F22" s="15">
        <v>76.0</v>
      </c>
      <c r="G22" s="39"/>
    </row>
    <row r="23" ht="22.5" customHeight="1">
      <c r="A23" s="15" t="s">
        <v>151</v>
      </c>
      <c r="B23" s="36">
        <v>1892.0</v>
      </c>
      <c r="C23" s="38">
        <f t="shared" si="1"/>
        <v>121</v>
      </c>
      <c r="D23" s="15">
        <v>30.0</v>
      </c>
      <c r="E23" s="15">
        <v>0.0</v>
      </c>
      <c r="F23" s="15">
        <v>91.0</v>
      </c>
      <c r="G23" s="19"/>
    </row>
    <row r="24" ht="22.5" customHeight="1">
      <c r="A24" s="15" t="s">
        <v>151</v>
      </c>
      <c r="B24" s="35">
        <v>1895.0</v>
      </c>
      <c r="C24" s="38">
        <f t="shared" si="1"/>
        <v>169</v>
      </c>
      <c r="D24" s="15">
        <v>94.0</v>
      </c>
      <c r="E24" s="15">
        <v>6.0</v>
      </c>
      <c r="F24" s="15">
        <v>69.0</v>
      </c>
      <c r="G24" s="19"/>
    </row>
    <row r="25" ht="22.5" customHeight="1">
      <c r="A25" s="15" t="s">
        <v>151</v>
      </c>
      <c r="B25" s="37">
        <v>1898.0</v>
      </c>
      <c r="C25" s="38">
        <f t="shared" si="1"/>
        <v>89</v>
      </c>
      <c r="D25" s="15">
        <v>35.0</v>
      </c>
      <c r="E25" s="15">
        <v>0.0</v>
      </c>
      <c r="F25" s="15">
        <f>72-18</f>
        <v>54</v>
      </c>
      <c r="G25" s="15"/>
    </row>
    <row r="26" ht="22.5" customHeight="1">
      <c r="A26" s="15" t="s">
        <v>154</v>
      </c>
      <c r="B26" s="35">
        <v>1865.0</v>
      </c>
      <c r="C26" s="38">
        <f t="shared" si="1"/>
        <v>9</v>
      </c>
      <c r="D26" s="15">
        <v>10.0</v>
      </c>
      <c r="E26" s="15">
        <v>16.0</v>
      </c>
      <c r="F26" s="15">
        <v>-15.0</v>
      </c>
      <c r="G26" s="15">
        <v>-2.0</v>
      </c>
    </row>
    <row r="27" ht="22.5" customHeight="1">
      <c r="A27" s="15" t="s">
        <v>154</v>
      </c>
      <c r="B27" s="36">
        <v>1868.0</v>
      </c>
      <c r="C27" s="38">
        <f t="shared" si="1"/>
        <v>45</v>
      </c>
      <c r="D27" s="15">
        <v>15.0</v>
      </c>
      <c r="E27" s="15">
        <v>12.0</v>
      </c>
      <c r="F27" s="15">
        <v>18.0</v>
      </c>
      <c r="G27" s="19"/>
    </row>
    <row r="28" ht="22.5" customHeight="1">
      <c r="A28" s="15" t="s">
        <v>154</v>
      </c>
      <c r="B28" s="35">
        <v>1871.0</v>
      </c>
      <c r="C28" s="38">
        <f t="shared" si="1"/>
        <v>40</v>
      </c>
      <c r="D28" s="15">
        <v>20.0</v>
      </c>
      <c r="E28" s="15">
        <v>7.0</v>
      </c>
      <c r="F28" s="15">
        <v>13.0</v>
      </c>
      <c r="G28" s="19"/>
    </row>
    <row r="29" ht="22.5" customHeight="1">
      <c r="A29" s="15" t="s">
        <v>154</v>
      </c>
      <c r="B29" s="36">
        <v>1874.0</v>
      </c>
      <c r="C29" s="38">
        <f t="shared" si="1"/>
        <v>64</v>
      </c>
      <c r="D29" s="15">
        <v>20.0</v>
      </c>
      <c r="E29" s="15">
        <v>16.0</v>
      </c>
      <c r="F29" s="15">
        <v>28.0</v>
      </c>
      <c r="G29" s="19"/>
    </row>
    <row r="30" ht="22.5" customHeight="1">
      <c r="A30" s="15" t="s">
        <v>154</v>
      </c>
      <c r="B30" s="35">
        <v>1877.0</v>
      </c>
      <c r="C30" s="38">
        <f t="shared" si="1"/>
        <v>71</v>
      </c>
      <c r="D30" s="15">
        <v>32.0</v>
      </c>
      <c r="E30" s="15">
        <v>9.0</v>
      </c>
      <c r="F30" s="19">
        <f>35-5</f>
        <v>30</v>
      </c>
      <c r="G30" s="19"/>
    </row>
    <row r="31" ht="22.5" customHeight="1">
      <c r="A31" s="15" t="s">
        <v>154</v>
      </c>
      <c r="B31" s="36">
        <v>1880.0</v>
      </c>
      <c r="C31" s="38">
        <f t="shared" si="1"/>
        <v>70</v>
      </c>
      <c r="D31" s="15">
        <v>23.0</v>
      </c>
      <c r="E31" s="15">
        <v>6.0</v>
      </c>
      <c r="F31" s="15">
        <v>41.0</v>
      </c>
      <c r="G31" s="19"/>
    </row>
    <row r="32" ht="22.5" customHeight="1">
      <c r="A32" s="15" t="s">
        <v>154</v>
      </c>
      <c r="B32" s="35">
        <v>1883.0</v>
      </c>
      <c r="C32" s="38">
        <f t="shared" si="1"/>
        <v>78</v>
      </c>
      <c r="D32" s="15">
        <v>13.0</v>
      </c>
      <c r="E32" s="15">
        <v>9.0</v>
      </c>
      <c r="F32" s="15">
        <v>56.0</v>
      </c>
      <c r="G32" s="19"/>
    </row>
    <row r="33" ht="22.5" customHeight="1">
      <c r="A33" s="15" t="s">
        <v>154</v>
      </c>
      <c r="B33" s="36">
        <v>1886.0</v>
      </c>
      <c r="C33" s="38">
        <f t="shared" si="1"/>
        <v>92</v>
      </c>
      <c r="D33" s="15">
        <v>50.0</v>
      </c>
      <c r="E33" s="15">
        <v>2.0</v>
      </c>
      <c r="F33" s="15">
        <v>40.0</v>
      </c>
      <c r="G33" s="19"/>
    </row>
    <row r="34" ht="22.5" customHeight="1">
      <c r="A34" s="15" t="s">
        <v>154</v>
      </c>
      <c r="B34" s="35">
        <v>1889.0</v>
      </c>
      <c r="C34" s="38">
        <f t="shared" si="1"/>
        <v>155</v>
      </c>
      <c r="D34" s="15">
        <v>95.0</v>
      </c>
      <c r="E34" s="15">
        <v>16.0</v>
      </c>
      <c r="F34" s="15">
        <v>44.0</v>
      </c>
      <c r="G34" s="19"/>
    </row>
    <row r="35" ht="22.5" customHeight="1">
      <c r="A35" s="15" t="s">
        <v>154</v>
      </c>
      <c r="B35" s="36">
        <v>1892.0</v>
      </c>
      <c r="C35" s="38">
        <f t="shared" si="1"/>
        <v>116</v>
      </c>
      <c r="D35" s="15">
        <v>24.0</v>
      </c>
      <c r="E35" s="15">
        <v>4.0</v>
      </c>
      <c r="F35" s="15">
        <v>88.0</v>
      </c>
      <c r="G35" s="19"/>
    </row>
    <row r="36" ht="22.5" customHeight="1">
      <c r="A36" s="15" t="s">
        <v>154</v>
      </c>
      <c r="B36" s="35">
        <v>1895.0</v>
      </c>
      <c r="C36" s="38">
        <f t="shared" si="1"/>
        <v>196</v>
      </c>
      <c r="D36" s="15">
        <v>115.0</v>
      </c>
      <c r="E36" s="15">
        <v>9.0</v>
      </c>
      <c r="F36" s="15">
        <v>72.0</v>
      </c>
      <c r="G36" s="19"/>
    </row>
    <row r="37" ht="22.5" customHeight="1">
      <c r="A37" s="15" t="s">
        <v>154</v>
      </c>
      <c r="B37" s="37">
        <v>1898.0</v>
      </c>
      <c r="C37" s="38">
        <f t="shared" si="1"/>
        <v>150</v>
      </c>
      <c r="D37" s="15">
        <v>56.0</v>
      </c>
      <c r="E37" s="15">
        <v>9.0</v>
      </c>
      <c r="F37" s="15">
        <v>85.0</v>
      </c>
      <c r="G37" s="19"/>
    </row>
    <row r="38" ht="22.5" customHeight="1">
      <c r="A38" s="15" t="s">
        <v>155</v>
      </c>
      <c r="B38" s="35">
        <v>1865.0</v>
      </c>
      <c r="C38" s="38">
        <f t="shared" si="1"/>
        <v>35</v>
      </c>
      <c r="D38" s="15">
        <v>15.0</v>
      </c>
      <c r="E38" s="15">
        <v>4.0</v>
      </c>
      <c r="F38" s="15">
        <v>16.0</v>
      </c>
      <c r="G38" s="19"/>
    </row>
    <row r="39" ht="22.5" customHeight="1">
      <c r="A39" s="15" t="s">
        <v>155</v>
      </c>
      <c r="B39" s="36">
        <v>1868.0</v>
      </c>
      <c r="C39" s="38">
        <f t="shared" si="1"/>
        <v>22</v>
      </c>
      <c r="D39" s="15">
        <v>7.0</v>
      </c>
      <c r="E39" s="15">
        <v>6.0</v>
      </c>
      <c r="F39" s="15">
        <v>9.0</v>
      </c>
      <c r="G39" s="19"/>
    </row>
    <row r="40" ht="22.5" customHeight="1">
      <c r="A40" s="15" t="s">
        <v>155</v>
      </c>
      <c r="B40" s="35">
        <v>1871.0</v>
      </c>
      <c r="C40" s="38">
        <f t="shared" si="1"/>
        <v>46</v>
      </c>
      <c r="D40" s="15">
        <v>24.0</v>
      </c>
      <c r="E40" s="15">
        <v>6.0</v>
      </c>
      <c r="F40" s="15">
        <v>16.0</v>
      </c>
      <c r="G40" s="19"/>
    </row>
    <row r="41" ht="22.5" customHeight="1">
      <c r="A41" s="15" t="s">
        <v>155</v>
      </c>
      <c r="B41" s="36">
        <v>1874.0</v>
      </c>
      <c r="C41" s="38">
        <f t="shared" si="1"/>
        <v>55</v>
      </c>
      <c r="D41" s="15">
        <v>16.0</v>
      </c>
      <c r="E41" s="15">
        <v>9.0</v>
      </c>
      <c r="F41" s="15">
        <v>30.0</v>
      </c>
      <c r="G41" s="19"/>
    </row>
    <row r="42" ht="22.5" customHeight="1">
      <c r="A42" s="15" t="s">
        <v>155</v>
      </c>
      <c r="B42" s="35">
        <v>1877.0</v>
      </c>
      <c r="C42" s="38">
        <f t="shared" si="1"/>
        <v>74</v>
      </c>
      <c r="D42" s="15">
        <v>27.0</v>
      </c>
      <c r="E42" s="15">
        <v>4.0</v>
      </c>
      <c r="F42" s="15">
        <v>43.0</v>
      </c>
      <c r="G42" s="19"/>
    </row>
    <row r="43" ht="22.5" customHeight="1">
      <c r="A43" s="15" t="s">
        <v>155</v>
      </c>
      <c r="B43" s="36">
        <v>1880.0</v>
      </c>
      <c r="C43" s="38">
        <f t="shared" si="1"/>
        <v>65</v>
      </c>
      <c r="D43" s="15">
        <v>18.0</v>
      </c>
      <c r="E43" s="15">
        <v>4.0</v>
      </c>
      <c r="F43" s="15">
        <v>43.0</v>
      </c>
      <c r="G43" s="19"/>
    </row>
    <row r="44" ht="22.5" customHeight="1">
      <c r="A44" s="15" t="s">
        <v>155</v>
      </c>
      <c r="B44" s="35">
        <v>1883.0</v>
      </c>
      <c r="C44" s="38">
        <f t="shared" si="1"/>
        <v>139</v>
      </c>
      <c r="D44" s="15">
        <v>44.0</v>
      </c>
      <c r="E44" s="15">
        <v>28.0</v>
      </c>
      <c r="F44" s="15">
        <v>67.0</v>
      </c>
      <c r="G44" s="19"/>
    </row>
    <row r="45" ht="22.5" customHeight="1">
      <c r="A45" s="15" t="s">
        <v>155</v>
      </c>
      <c r="B45" s="36">
        <v>1886.0</v>
      </c>
      <c r="C45" s="38">
        <f t="shared" si="1"/>
        <v>130</v>
      </c>
      <c r="D45" s="15">
        <v>28.0</v>
      </c>
      <c r="E45" s="15">
        <v>12.0</v>
      </c>
      <c r="F45" s="15">
        <v>90.0</v>
      </c>
      <c r="G45" s="19"/>
    </row>
    <row r="46" ht="22.5" customHeight="1">
      <c r="A46" s="15" t="s">
        <v>155</v>
      </c>
      <c r="B46" s="35">
        <v>1889.0</v>
      </c>
      <c r="C46" s="38">
        <f t="shared" si="1"/>
        <v>146</v>
      </c>
      <c r="D46" s="15">
        <v>88.0</v>
      </c>
      <c r="E46" s="15">
        <v>0.0</v>
      </c>
      <c r="F46" s="15">
        <v>58.0</v>
      </c>
      <c r="G46" s="19"/>
    </row>
    <row r="47" ht="22.5" customHeight="1">
      <c r="A47" s="15" t="s">
        <v>155</v>
      </c>
      <c r="B47" s="36">
        <v>1892.0</v>
      </c>
      <c r="C47" s="38">
        <f t="shared" si="1"/>
        <v>192</v>
      </c>
      <c r="D47" s="15">
        <v>45.0</v>
      </c>
      <c r="E47" s="15">
        <v>4.0</v>
      </c>
      <c r="F47" s="15">
        <v>143.0</v>
      </c>
      <c r="G47" s="19"/>
    </row>
    <row r="48" ht="22.5" customHeight="1">
      <c r="A48" s="15" t="s">
        <v>155</v>
      </c>
      <c r="B48" s="35">
        <v>1895.0</v>
      </c>
      <c r="C48" s="38">
        <f t="shared" si="1"/>
        <v>78</v>
      </c>
      <c r="D48" s="15">
        <v>74.0</v>
      </c>
      <c r="E48" s="15">
        <v>9.0</v>
      </c>
      <c r="F48" s="15">
        <v>-5.0</v>
      </c>
      <c r="G48" s="19"/>
    </row>
    <row r="49" ht="22.5" customHeight="1">
      <c r="A49" s="15" t="s">
        <v>155</v>
      </c>
      <c r="B49" s="37">
        <v>1898.0</v>
      </c>
      <c r="C49" s="38">
        <f t="shared" si="1"/>
        <v>109</v>
      </c>
      <c r="D49" s="15">
        <v>29.0</v>
      </c>
      <c r="E49" s="15">
        <v>4.0</v>
      </c>
      <c r="F49" s="15">
        <v>76.0</v>
      </c>
      <c r="G49" s="19"/>
    </row>
    <row r="50" ht="22.5" customHeight="1">
      <c r="A50" s="15" t="s">
        <v>153</v>
      </c>
      <c r="B50" s="35">
        <v>1865.0</v>
      </c>
      <c r="C50" s="38">
        <f t="shared" si="1"/>
        <v>18</v>
      </c>
      <c r="D50" s="15">
        <v>18.0</v>
      </c>
      <c r="E50" s="15">
        <v>4.0</v>
      </c>
      <c r="F50" s="15">
        <v>-4.0</v>
      </c>
      <c r="G50" s="19"/>
    </row>
    <row r="51" ht="22.5" customHeight="1">
      <c r="A51" s="15" t="s">
        <v>153</v>
      </c>
      <c r="B51" s="36">
        <v>1868.0</v>
      </c>
      <c r="C51" s="38">
        <f t="shared" si="1"/>
        <v>46</v>
      </c>
      <c r="D51" s="15">
        <v>16.0</v>
      </c>
      <c r="E51" s="15">
        <v>6.0</v>
      </c>
      <c r="F51" s="15">
        <v>24.0</v>
      </c>
      <c r="G51" s="19"/>
    </row>
    <row r="52" ht="22.5" customHeight="1">
      <c r="A52" s="15" t="s">
        <v>153</v>
      </c>
      <c r="B52" s="35">
        <v>1871.0</v>
      </c>
      <c r="C52" s="38">
        <f t="shared" si="1"/>
        <v>6</v>
      </c>
      <c r="D52" s="15">
        <v>20.0</v>
      </c>
      <c r="E52" s="15">
        <v>7.0</v>
      </c>
      <c r="F52" s="15">
        <v>-21.0</v>
      </c>
      <c r="G52" s="19"/>
    </row>
    <row r="53" ht="22.5" customHeight="1">
      <c r="A53" s="15" t="s">
        <v>153</v>
      </c>
      <c r="B53" s="36">
        <v>1874.0</v>
      </c>
      <c r="C53" s="38">
        <f t="shared" si="1"/>
        <v>74</v>
      </c>
      <c r="D53" s="15">
        <v>41.0</v>
      </c>
      <c r="E53" s="15">
        <v>4.0</v>
      </c>
      <c r="F53" s="15">
        <v>29.0</v>
      </c>
      <c r="G53" s="19"/>
    </row>
    <row r="54" ht="22.5" customHeight="1">
      <c r="A54" s="15" t="s">
        <v>153</v>
      </c>
      <c r="B54" s="35">
        <v>1877.0</v>
      </c>
      <c r="C54" s="38">
        <f t="shared" si="1"/>
        <v>63</v>
      </c>
      <c r="D54" s="15">
        <v>35.0</v>
      </c>
      <c r="E54" s="15">
        <v>7.0</v>
      </c>
      <c r="F54" s="15">
        <v>21.0</v>
      </c>
      <c r="G54" s="19"/>
    </row>
    <row r="55" ht="22.5" customHeight="1">
      <c r="A55" s="15" t="s">
        <v>153</v>
      </c>
      <c r="B55" s="36">
        <v>1880.0</v>
      </c>
      <c r="C55" s="38">
        <f t="shared" si="1"/>
        <v>82</v>
      </c>
      <c r="D55" s="15">
        <v>20.0</v>
      </c>
      <c r="E55" s="19">
        <f>4+12</f>
        <v>16</v>
      </c>
      <c r="F55" s="15">
        <v>46.0</v>
      </c>
      <c r="G55" s="19"/>
    </row>
    <row r="56" ht="22.5" customHeight="1">
      <c r="A56" s="15" t="s">
        <v>153</v>
      </c>
      <c r="B56" s="35">
        <v>1883.0</v>
      </c>
      <c r="C56" s="38">
        <f t="shared" si="1"/>
        <v>96</v>
      </c>
      <c r="D56" s="15">
        <v>31.0</v>
      </c>
      <c r="E56" s="15">
        <v>4.0</v>
      </c>
      <c r="F56" s="15">
        <v>61.0</v>
      </c>
      <c r="G56" s="19"/>
    </row>
    <row r="57" ht="22.5" customHeight="1">
      <c r="A57" s="15" t="s">
        <v>153</v>
      </c>
      <c r="B57" s="36">
        <v>1886.0</v>
      </c>
      <c r="C57" s="38">
        <f t="shared" si="1"/>
        <v>88</v>
      </c>
      <c r="D57" s="15">
        <v>19.0</v>
      </c>
      <c r="E57" s="15">
        <v>16.0</v>
      </c>
      <c r="F57" s="15">
        <v>53.0</v>
      </c>
      <c r="G57" s="19"/>
    </row>
    <row r="58" ht="22.5" customHeight="1">
      <c r="A58" s="15" t="s">
        <v>153</v>
      </c>
      <c r="B58" s="35">
        <v>1889.0</v>
      </c>
      <c r="C58" s="38">
        <f t="shared" si="1"/>
        <v>75</v>
      </c>
      <c r="D58" s="15">
        <v>52.0</v>
      </c>
      <c r="E58" s="15">
        <v>0.0</v>
      </c>
      <c r="F58" s="15">
        <v>25.0</v>
      </c>
      <c r="G58" s="15">
        <v>-2.0</v>
      </c>
    </row>
    <row r="59" ht="22.5" customHeight="1">
      <c r="A59" s="15" t="s">
        <v>153</v>
      </c>
      <c r="B59" s="36">
        <v>1892.0</v>
      </c>
      <c r="C59" s="38">
        <f t="shared" si="1"/>
        <v>146</v>
      </c>
      <c r="D59" s="15">
        <v>25.0</v>
      </c>
      <c r="E59" s="15">
        <v>4.0</v>
      </c>
      <c r="F59" s="15">
        <v>117.0</v>
      </c>
      <c r="G59" s="19"/>
    </row>
    <row r="60" ht="22.5" customHeight="1">
      <c r="A60" s="15" t="s">
        <v>153</v>
      </c>
      <c r="B60" s="35">
        <v>1895.0</v>
      </c>
      <c r="C60" s="38">
        <f t="shared" si="1"/>
        <v>195</v>
      </c>
      <c r="D60" s="15">
        <v>86.0</v>
      </c>
      <c r="E60" s="15">
        <v>16.0</v>
      </c>
      <c r="F60" s="15">
        <v>93.0</v>
      </c>
      <c r="G60" s="19"/>
    </row>
    <row r="61" ht="22.5" customHeight="1">
      <c r="A61" s="15" t="s">
        <v>153</v>
      </c>
      <c r="B61" s="37">
        <v>1898.0</v>
      </c>
      <c r="C61" s="38">
        <f t="shared" si="1"/>
        <v>197</v>
      </c>
      <c r="D61" s="15">
        <v>73.0</v>
      </c>
      <c r="E61" s="15">
        <v>4.0</v>
      </c>
      <c r="F61" s="15">
        <v>120.0</v>
      </c>
      <c r="G61" s="19"/>
    </row>
    <row r="62" ht="22.5" customHeight="1">
      <c r="A62" s="15" t="s">
        <v>156</v>
      </c>
      <c r="B62" s="35">
        <v>1865.0</v>
      </c>
      <c r="C62" s="38">
        <f t="shared" si="1"/>
        <v>27</v>
      </c>
      <c r="D62" s="15">
        <v>14.0</v>
      </c>
      <c r="E62" s="15">
        <v>6.0</v>
      </c>
      <c r="F62" s="15">
        <v>7.0</v>
      </c>
      <c r="G62" s="19"/>
    </row>
    <row r="63" ht="22.5" customHeight="1">
      <c r="A63" s="15" t="s">
        <v>156</v>
      </c>
      <c r="B63" s="36">
        <v>1868.0</v>
      </c>
      <c r="C63" s="38">
        <f t="shared" si="1"/>
        <v>44</v>
      </c>
      <c r="D63" s="15">
        <v>9.0</v>
      </c>
      <c r="E63" s="15">
        <v>7.0</v>
      </c>
      <c r="F63" s="15">
        <v>28.0</v>
      </c>
      <c r="G63" s="19"/>
    </row>
    <row r="64" ht="22.5" customHeight="1">
      <c r="A64" s="15" t="s">
        <v>156</v>
      </c>
      <c r="B64" s="35">
        <v>1871.0</v>
      </c>
      <c r="C64" s="38">
        <f t="shared" si="1"/>
        <v>55</v>
      </c>
      <c r="D64" s="15">
        <v>9.0</v>
      </c>
      <c r="E64" s="15">
        <v>16.0</v>
      </c>
      <c r="F64" s="15">
        <v>30.0</v>
      </c>
      <c r="G64" s="19"/>
    </row>
    <row r="65" ht="22.5" customHeight="1">
      <c r="A65" s="15" t="s">
        <v>156</v>
      </c>
      <c r="B65" s="36">
        <v>1874.0</v>
      </c>
      <c r="C65" s="38">
        <f t="shared" si="1"/>
        <v>66</v>
      </c>
      <c r="D65" s="15">
        <v>30.0</v>
      </c>
      <c r="E65" s="15">
        <v>6.0</v>
      </c>
      <c r="F65" s="15">
        <v>30.0</v>
      </c>
      <c r="G65" s="19"/>
    </row>
    <row r="66" ht="22.5" customHeight="1">
      <c r="A66" s="15" t="s">
        <v>156</v>
      </c>
      <c r="B66" s="35">
        <v>1877.0</v>
      </c>
      <c r="C66" s="38">
        <f t="shared" si="1"/>
        <v>64</v>
      </c>
      <c r="D66" s="15">
        <v>24.0</v>
      </c>
      <c r="E66" s="15">
        <v>16.0</v>
      </c>
      <c r="F66" s="15">
        <v>24.0</v>
      </c>
      <c r="G66" s="19"/>
    </row>
    <row r="67" ht="22.5" customHeight="1">
      <c r="A67" s="15" t="s">
        <v>156</v>
      </c>
      <c r="B67" s="36">
        <v>1880.0</v>
      </c>
      <c r="C67" s="38">
        <f t="shared" si="1"/>
        <v>68</v>
      </c>
      <c r="D67" s="15">
        <v>23.0</v>
      </c>
      <c r="E67" s="15">
        <v>12.0</v>
      </c>
      <c r="F67" s="15">
        <v>33.0</v>
      </c>
      <c r="G67" s="19"/>
    </row>
    <row r="68" ht="22.5" customHeight="1">
      <c r="A68" s="15" t="s">
        <v>156</v>
      </c>
      <c r="B68" s="35">
        <v>1883.0</v>
      </c>
      <c r="C68" s="38">
        <f t="shared" si="1"/>
        <v>65</v>
      </c>
      <c r="D68" s="15">
        <v>28.0</v>
      </c>
      <c r="E68" s="15">
        <v>9.0</v>
      </c>
      <c r="F68" s="15">
        <v>28.0</v>
      </c>
      <c r="G68" s="19"/>
    </row>
    <row r="69" ht="22.5" customHeight="1">
      <c r="A69" s="15" t="s">
        <v>156</v>
      </c>
      <c r="B69" s="36">
        <v>1886.0</v>
      </c>
      <c r="C69" s="38">
        <f t="shared" si="1"/>
        <v>150</v>
      </c>
      <c r="D69" s="15">
        <v>82.0</v>
      </c>
      <c r="E69" s="15">
        <v>9.0</v>
      </c>
      <c r="F69" s="15">
        <v>59.0</v>
      </c>
      <c r="G69" s="19"/>
    </row>
    <row r="70" ht="22.5" customHeight="1">
      <c r="A70" s="15" t="s">
        <v>156</v>
      </c>
      <c r="B70" s="35">
        <v>1889.0</v>
      </c>
      <c r="C70" s="38">
        <f t="shared" si="1"/>
        <v>93</v>
      </c>
      <c r="D70" s="15">
        <v>37.0</v>
      </c>
      <c r="E70" s="15">
        <v>0.0</v>
      </c>
      <c r="F70" s="15">
        <v>56.0</v>
      </c>
      <c r="G70" s="19"/>
    </row>
    <row r="71" ht="22.5" customHeight="1">
      <c r="A71" s="15" t="s">
        <v>156</v>
      </c>
      <c r="B71" s="36">
        <v>1892.0</v>
      </c>
      <c r="C71" s="38">
        <f t="shared" si="1"/>
        <v>108</v>
      </c>
      <c r="D71" s="15">
        <v>24.0</v>
      </c>
      <c r="E71" s="15">
        <v>16.0</v>
      </c>
      <c r="F71" s="15">
        <v>68.0</v>
      </c>
      <c r="G71" s="19"/>
    </row>
    <row r="72" ht="22.5" customHeight="1">
      <c r="A72" s="15" t="s">
        <v>156</v>
      </c>
      <c r="B72" s="35">
        <v>1895.0</v>
      </c>
      <c r="C72" s="38">
        <f t="shared" si="1"/>
        <v>253</v>
      </c>
      <c r="D72" s="15">
        <v>108.0</v>
      </c>
      <c r="E72" s="15">
        <v>4.0</v>
      </c>
      <c r="F72" s="15">
        <v>141.0</v>
      </c>
      <c r="G72" s="19"/>
    </row>
    <row r="73" ht="22.5" customHeight="1">
      <c r="A73" s="15" t="s">
        <v>156</v>
      </c>
      <c r="B73" s="37">
        <v>1898.0</v>
      </c>
      <c r="C73" s="38">
        <f t="shared" si="1"/>
        <v>159</v>
      </c>
      <c r="D73" s="15">
        <v>38.0</v>
      </c>
      <c r="E73" s="15">
        <v>2.0</v>
      </c>
      <c r="F73" s="15">
        <v>119.0</v>
      </c>
      <c r="G73" s="19"/>
    </row>
  </sheetData>
  <drawing r:id="rId1"/>
  <tableParts count="1">
    <tablePart r:id="rId3"/>
  </tableParts>
</worksheet>
</file>